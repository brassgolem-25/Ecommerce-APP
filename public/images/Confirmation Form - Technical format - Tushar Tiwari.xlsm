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ushar.tiwari\Downloads\"/>
    </mc:Choice>
  </mc:AlternateContent>
  <xr:revisionPtr revIDLastSave="0" documentId="13_ncr:1_{9A6FC9CC-33E1-4DA9-BDD0-FB97C918AABA}" xr6:coauthVersionLast="47" xr6:coauthVersionMax="47" xr10:uidLastSave="{00000000-0000-0000-0000-000000000000}"/>
  <workbookProtection workbookAlgorithmName="SHA-512" workbookHashValue="wLPu4h+DKriHAfYbZZMWLE4cXq7qRSlNiMR4xB2l/tkpCkuKK+2xLQ0wm8ltXHVPxtltOsvs/nnBmbpPBtzNRg==" workbookSaltValue="fCHAXkqtXX1IYgMrq5/yaA==" workbookSpinCount="100000" lockStructure="1"/>
  <bookViews>
    <workbookView xWindow="-108" yWindow="-108" windowWidth="23256" windowHeight="12456" tabRatio="579" xr2:uid="{00000000-000D-0000-FFFF-FFFF00000000}"/>
  </bookViews>
  <sheets>
    <sheet name="Cover Sheet" sheetId="9" r:id="rId1"/>
    <sheet name="Addendum" sheetId="11" r:id="rId2"/>
    <sheet name="Competency Assessment" sheetId="6" r:id="rId3"/>
    <sheet name="Competencies" sheetId="8" state="hidden" r:id="rId4"/>
    <sheet name="Guidance Sheet" sheetId="10" state="hidden" r:id="rId5"/>
  </sheets>
  <externalReferences>
    <externalReference r:id="rId6"/>
    <externalReference r:id="rId7"/>
  </externalReferences>
  <definedNames>
    <definedName name="Designations">CompentencyWeightage[[#Headers],[Trainee]:[Sr. Manager]]</definedName>
    <definedName name="_xlnm.Print_Area" localSheetId="2">'Competency Assessment'!$A$12:$N$27</definedName>
    <definedName name="_xlnm.Print_Area" localSheetId="4">'Guidance Sheet'!$A$1:$S$64</definedName>
    <definedName name="_xlnm.Print_Area">'Competency Assessment'!$A$12:$N$27</definedName>
    <definedName name="_xlnm.Print_Titles" localSheetId="1">Addendum!$1:$5</definedName>
    <definedName name="RatingCode">[1]Legend!$A$8:$A$12</definedName>
    <definedName name="Title" localSheetId="1">'[2]Cover Sheet'!$D$6</definedName>
    <definedName name="Title">'Cover Sheet'!$D$6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5" i="6" l="1"/>
  <c r="O35" i="10" l="1"/>
  <c r="N35" i="10"/>
  <c r="M35" i="10"/>
  <c r="L35" i="10"/>
  <c r="K35" i="10"/>
  <c r="J35" i="10"/>
  <c r="I35" i="10"/>
  <c r="H35" i="10"/>
  <c r="G35" i="10"/>
  <c r="F35" i="10"/>
  <c r="E35" i="10"/>
  <c r="D35" i="10"/>
  <c r="C35" i="10"/>
  <c r="B35" i="10"/>
  <c r="B7" i="8"/>
  <c r="B6" i="8"/>
  <c r="B5" i="8"/>
  <c r="B4" i="8"/>
  <c r="B3" i="8"/>
  <c r="B2" i="8"/>
  <c r="N26" i="6"/>
  <c r="B26" i="6"/>
  <c r="C26" i="6" s="1"/>
  <c r="B25" i="6"/>
  <c r="C25" i="6" s="1"/>
  <c r="N24" i="6"/>
  <c r="B24" i="6"/>
  <c r="C24" i="6" s="1"/>
  <c r="N23" i="6"/>
  <c r="B23" i="6"/>
  <c r="C23" i="6" s="1"/>
  <c r="N22" i="6"/>
  <c r="B22" i="6"/>
  <c r="C22" i="6" s="1"/>
  <c r="N21" i="6"/>
  <c r="B21" i="6"/>
  <c r="C21" i="6" s="1"/>
  <c r="N20" i="6"/>
  <c r="B20" i="6"/>
  <c r="C20" i="6" s="1"/>
  <c r="N19" i="6"/>
  <c r="B19" i="6"/>
  <c r="C19" i="6" s="1"/>
  <c r="N18" i="6"/>
  <c r="B18" i="6"/>
  <c r="C18" i="6" s="1"/>
  <c r="N17" i="6"/>
  <c r="B17" i="6"/>
  <c r="C17" i="6" s="1"/>
  <c r="N16" i="6"/>
  <c r="B16" i="6"/>
  <c r="C16" i="6" s="1"/>
  <c r="N13" i="6"/>
  <c r="A3" i="6"/>
  <c r="I5" i="6"/>
  <c r="H13" i="6" l="1"/>
  <c r="B5" i="6"/>
  <c r="F5" i="6"/>
  <c r="J13" i="6"/>
  <c r="C5" i="6"/>
  <c r="C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Rajesh V K</author>
  </authors>
  <commentList>
    <comment ref="B14" authorId="0" shapeId="0" xr:uid="{00000000-0006-0000-0200-000001000000}">
      <text>
        <r>
          <rPr>
            <b/>
            <sz val="9"/>
            <color indexed="81"/>
            <rFont val="Tahoma"/>
            <family val="2"/>
          </rPr>
          <t>MNK:</t>
        </r>
        <r>
          <rPr>
            <sz val="9"/>
            <color indexed="81"/>
            <rFont val="Tahoma"/>
            <family val="2"/>
          </rPr>
          <t xml:space="preserve">
Will be populated once the Title is selected.</t>
        </r>
      </text>
    </comment>
    <comment ref="C14" authorId="0" shapeId="0" xr:uid="{00000000-0006-0000-0200-000002000000}">
      <text>
        <r>
          <rPr>
            <b/>
            <sz val="9"/>
            <color indexed="81"/>
            <rFont val="Tahoma"/>
            <family val="2"/>
          </rPr>
          <t>MNK:</t>
        </r>
        <r>
          <rPr>
            <sz val="9"/>
            <color indexed="81"/>
            <rFont val="Tahoma"/>
            <family val="2"/>
          </rPr>
          <t xml:space="preserve">
Will be populated once the Title is selected.</t>
        </r>
      </text>
    </comment>
  </commentList>
</comments>
</file>

<file path=xl/sharedStrings.xml><?xml version="1.0" encoding="utf-8"?>
<sst xmlns="http://schemas.openxmlformats.org/spreadsheetml/2006/main" count="415" uniqueCount="207">
  <si>
    <t>Name:</t>
  </si>
  <si>
    <t>Employee ID:</t>
  </si>
  <si>
    <t>Business Unit:</t>
  </si>
  <si>
    <t>Team/Project:</t>
  </si>
  <si>
    <t>Assessment Period:</t>
  </si>
  <si>
    <t>Name of Manager:</t>
  </si>
  <si>
    <t>Programming</t>
  </si>
  <si>
    <t>Documentation</t>
  </si>
  <si>
    <t>Continuous Learning</t>
  </si>
  <si>
    <t>Process Compliance</t>
  </si>
  <si>
    <t>Workplace Relationship Management</t>
  </si>
  <si>
    <t>Analyzing &amp; Interpreting</t>
  </si>
  <si>
    <t>Organizing &amp; Executing</t>
  </si>
  <si>
    <t>Effective Communication</t>
  </si>
  <si>
    <t>The ability to translate the requirements into a specific programming spec and to complete the full cycle of writing, testing, debugging, troubleshooting, etc. taking into consideration company processes and coding guidelines while maintaining high quality standards to achieve a specific level of excellence.</t>
  </si>
  <si>
    <t xml:space="preserve">Provide documentation to an appropriate level for the intended audience, taking into account that the audience may vary from developers to end users. Artifacts include Requirement (Use-Cases), Design, Architecture, Test Cases, End-User Documentation, Training material (including videos), Minutes of Meeting (MOM). </t>
  </si>
  <si>
    <t>Constantly upgrading skills &amp; knowledge related to technology, product, domain and industry.</t>
  </si>
  <si>
    <t>The ability to consistently adhere to accepted and proven Vistaar Process Models &amp; Vistaar Processes (SOPs) and understand the underlying links to overall business process performance. This involves fully understanding the control mechanisms, implementing them, analyzing the risk factors and coming up with process improvement suggestions.</t>
  </si>
  <si>
    <t xml:space="preserve">Maintains healthy work relationships with colleagues, clients and other stake holders. Supports others and shows respect for others. Works effectively with individuals and teams. </t>
  </si>
  <si>
    <t>Applies clear and practical thinking to solve problems and reaches logical conclusions. Works effectively with complicated, conflicting or ambiguous information, and gets to the crux of the problem. Visualizes the whole scenario and communicates articulately to explain the inherent linkages &amp; the proposed solution.</t>
  </si>
  <si>
    <t>Plans ahead and works in a systematic &amp; organized manner. Can follow directions and procedures while also trying to come up with suggestions for improvement. Prioritizes tasks and delivers within timelines, with quality.</t>
  </si>
  <si>
    <t>It is the ability to have the necessary level of capability in relationships with others by explaining information in a clear and simple language, actively listening to others and present information in an understandable manner through effective verbal, written or any other acceptable means.</t>
  </si>
  <si>
    <t>GOALS FOR THE CURRENT CYCLE (as identified during the last cycle)</t>
  </si>
  <si>
    <t>Sl. No.</t>
  </si>
  <si>
    <t>Goals</t>
  </si>
  <si>
    <t>GOALS FOR THE NEXT CYCLE</t>
  </si>
  <si>
    <t>To</t>
  </si>
  <si>
    <t>From</t>
  </si>
  <si>
    <t>Employee's Signature with date:</t>
  </si>
  <si>
    <t>Basic</t>
  </si>
  <si>
    <t>Advanced</t>
  </si>
  <si>
    <t>Proficient</t>
  </si>
  <si>
    <t>Expert</t>
  </si>
  <si>
    <t xml:space="preserve">• Visualizes and designs complex systems with multiple product lines and integrations with external systems. 
• Designs operations support systems like monitoring, reporting, fail-overs etc. 
• Comes up with guidelines on exception handling for entire system. 
• Suggests better alternatives and flows to given requirements. 
• Ensures refactoring of relevant artifacts, as and when required.
</t>
  </si>
  <si>
    <t xml:space="preserve">• Identifies processes required for specific product-lines/groups. 
• Conducts retrospective meetings effectively and comes up with the reasoning behind to choose the corrective actions. 
• Demonstrates that the cost of preventative action is less compared to corrective actions. 
• Guides the process improvement activities. 
</t>
  </si>
  <si>
    <t xml:space="preserve">• Offers help to other team members, when needed. 
• Takes actions that demonstrate consideration for the feelings and needs of others. 
• Develops and openly communicates self-insight, such as an awareness of strengths and areas of development. 
• Is able to manage direct conflicts.
</t>
  </si>
  <si>
    <t xml:space="preserve">• Evaluates &amp; implements suggestions for process improvement, wherever relevant. 
• Plans activities well in advance and takes account of possible changing circumstances. 
• Plans not only for tasks but also for resources (manpower, training, processes, hardware &amp; software for the team) required to complete the job.
</t>
  </si>
  <si>
    <t xml:space="preserve">• Has ability to articulate information in a clear and simple manner that is understandable by colleagues. </t>
  </si>
  <si>
    <t xml:space="preserve">• Has good verbal as well as written communication skills 
• Is able to break down complex and technical information into an understandable format. 
• Has reasonable presentation skills and is able to present ideas to a group in an effective and convincing manner. 
• Possesses good listening skills.
</t>
  </si>
  <si>
    <t>Weight</t>
  </si>
  <si>
    <t>Total Score</t>
  </si>
  <si>
    <t>Trainee</t>
  </si>
  <si>
    <t>BE</t>
  </si>
  <si>
    <t>ME</t>
  </si>
  <si>
    <t>EE</t>
  </si>
  <si>
    <t>FE</t>
  </si>
  <si>
    <t>SE</t>
  </si>
  <si>
    <t>SSE</t>
  </si>
  <si>
    <t>Cover Sheet:</t>
  </si>
  <si>
    <t>Competency Assessment:</t>
  </si>
  <si>
    <t>3. This is the sheet which needs to be signed in hard copy format by both the appraisee and the appraiser.</t>
  </si>
  <si>
    <t>1. These competencies will be assessed on the basis of the goals that had been set for this cycle.</t>
  </si>
  <si>
    <t>TOTAL</t>
  </si>
  <si>
    <t>Printing Instructions:</t>
  </si>
  <si>
    <t>1. Go to File --&gt; Print</t>
  </si>
  <si>
    <t>2. Change Settings to "Print Entire Workbook"</t>
  </si>
  <si>
    <t>3. Enter page numbers as "1" and "2"</t>
  </si>
  <si>
    <t>4. Select: "Print on both sides"</t>
  </si>
  <si>
    <t>5. Change orientation to Landscape</t>
  </si>
  <si>
    <t>6. Print the single page, sign it and submit it to HR.</t>
  </si>
  <si>
    <t>Definition</t>
  </si>
  <si>
    <t>Competency</t>
  </si>
  <si>
    <t>1. The Cover Sheet needs to be filled up to reflect the currently assigned goals on which the employee will be evaluated across the competencies. This should also capture the goals for the next cycle.</t>
  </si>
  <si>
    <t>2. If the employee or the manager has any additional comments to make after the appraisal discussion, then those can be made here.</t>
  </si>
  <si>
    <t>Rating</t>
  </si>
  <si>
    <t>Title:</t>
  </si>
  <si>
    <t>2. All the competencies should be rated either "Unacceptable", "Basic", "Advanced", "Proficient" &amp; "Expert".</t>
  </si>
  <si>
    <t>3. Not everybody is expected to be at the "Expert" level. Hence the final rating will depend totally on the level the person is in.</t>
  </si>
  <si>
    <t>Comments</t>
  </si>
  <si>
    <t>People Management</t>
  </si>
  <si>
    <t>Project Management</t>
  </si>
  <si>
    <t>Leading &amp; Deciding</t>
  </si>
  <si>
    <t>Hires and integrates new employees, develops and retains employees. Motivates employees.</t>
  </si>
  <si>
    <t>It involves the discipline of planning; organizing and managing resources to bring about the successful completion of specific goals by systematically carrying out a priority based structuring of time allocation and distribution among competing demands.</t>
  </si>
  <si>
    <t>Involves having an understanding of the underlying technologies used in the application and applying that knowledge to improve the application features.</t>
  </si>
  <si>
    <t>Assumes responsibility and leads people with decisiveness, authority &amp; domain expertise. Initiates action and provides a clear direction. Delegates responsibility and assigns the required authority to carry out the tasks.</t>
  </si>
  <si>
    <t xml:space="preserve">• Participates in the hiring process and identifies the right talent for Vistaar. 
• Mentors people working in the same team
• Offers help to members of other teams, when they need it.
• Is approachable to every team member
</t>
  </si>
  <si>
    <t xml:space="preserve">• Plans, manages and organizes resources for routine tasks in order to complete them on time and within budget. 
• Mostly handles smaller tasks involving lesser resources, small budget projects and a shorter time frame.
</t>
  </si>
  <si>
    <t xml:space="preserve">• Motivates and encourages people by:
o assigning the right people for the right job
o developing talented individuals by giving them challenging roles
o rewarding talent and performance  
</t>
  </si>
  <si>
    <t xml:space="preserve">• Plans and delivers complex projects with very accurate timelines and optimal allocation of resources. </t>
  </si>
  <si>
    <t xml:space="preserve">• Has a good understanding of the application’s business usage.
• Participates and contributes in functional discussions for moderately complex enhancements.
</t>
  </si>
  <si>
    <t xml:space="preserve">• Manages multiple projects of varying scale simultaneously. 
• Follows custom made project management method while managing multiple projects efficiently. 
</t>
  </si>
  <si>
    <t>• Contributes in functional discussions for complex enhancements.</t>
  </si>
  <si>
    <t>Manager</t>
  </si>
  <si>
    <t>Sr. Manager</t>
  </si>
  <si>
    <t>Competency Mapping</t>
  </si>
  <si>
    <t>Score</t>
  </si>
  <si>
    <t>Unacceptable</t>
  </si>
  <si>
    <t>TL</t>
  </si>
  <si>
    <t>TA</t>
  </si>
  <si>
    <t>Teams</t>
  </si>
  <si>
    <t>AFG</t>
  </si>
  <si>
    <t>PSG</t>
  </si>
  <si>
    <t>RDG</t>
  </si>
  <si>
    <t>QC</t>
  </si>
  <si>
    <t>NIG</t>
  </si>
  <si>
    <t>SDG</t>
  </si>
  <si>
    <t>Bev-Al</t>
  </si>
  <si>
    <t>Testing</t>
  </si>
  <si>
    <t>Automation</t>
  </si>
  <si>
    <t>The ability to translate the requirements from the Vistaar product into a specific test cases  and to complete the full cycle of  testing, debugging/troubleshooting, etc. taking into consideration industry best practices &amp; testing guidelines while maintaining high quality standards to achieve the expected level of excellence.</t>
  </si>
  <si>
    <t xml:space="preserve">• Executes the existing test cases and logs the defects with clear steps. 
• Adds/updates new test cases to the database. 
• Executes the Automation testing Suite
• Understands software features, performance or behavior. 
</t>
  </si>
  <si>
    <t>Trainee - QC</t>
  </si>
  <si>
    <t>SE - QC</t>
  </si>
  <si>
    <t>SSE - QC</t>
  </si>
  <si>
    <t>TL - QC</t>
  </si>
  <si>
    <t>Sr. Tech. Writer</t>
  </si>
  <si>
    <t>Score-Rating Mapping</t>
  </si>
  <si>
    <t>Row # from Competencies Sheet ------&gt;</t>
  </si>
  <si>
    <t>AWS-COG</t>
  </si>
  <si>
    <t>COVER SHEET</t>
  </si>
  <si>
    <t>COMPETENCIES</t>
  </si>
  <si>
    <t xml:space="preserve">• Takes the given requirements and codes to specification. 
• Follows Vistaar Development Guidelines to come up with structured and maintainable code.
• Ensures basic error handling and all unit test cases are covered properly.
</t>
  </si>
  <si>
    <t xml:space="preserve">• Comes up with questions regarding missed cases in the spec. 
• Follows good coding practices to ensure performance, reliability, security and scalability of the system. 
• Ensures error/exceptions leave program in good state, resources, connections and memory is all cleaned up properly.
• Performs effective code reviews. 
• Codes to detect possible exception, maintains consistent exception handling strategy in all layers of code. 
</t>
  </si>
  <si>
    <t>• Designs systems that span multiple technologies/platforms. 
• Follows good design practices to ensure performance, reliability, security and scalability of the system. 
• Understands the complete picture and comes up with impacted areas that need to be spec-ed. 
• Uses appropriate data structures and algorithms and comes up with generic/object-oriented/ reusable design that includes aspects of the problem that are subject to change. 
• Ensures that everyone in the team understands and follows coding standards. 
• Ensures checks to catch defects early in the development cycle</t>
  </si>
  <si>
    <t xml:space="preserve">• Understands the purpose and the scope of documentation. 
• Identifies and provides proper contents for updating artifacts.
</t>
  </si>
  <si>
    <t xml:space="preserve">• Records the ideas, thoughts and strategies in a clear and precise manner. 
•  Is comfortable with standard tools required for generation of artifacts.
• Creates appropriate artifacts, for internal use as well as for customers.
</t>
  </si>
  <si>
    <t xml:space="preserve">• Helps to access and interpret information that is meaningful for decision-making. 
• Ensures accuracy and completeness of artifacts.
</t>
  </si>
  <si>
    <t xml:space="preserve">• Enables and supports with accurate information for business decision making and commercial success. 
• Keeps abreast with industry standard notations, tools for generation of artifacts.
</t>
  </si>
  <si>
    <t xml:space="preserve">• Has basic exposure to languages and technology platform used. 
• Explores the technology platform allotted to. 
• Adheres to best practices.
</t>
  </si>
  <si>
    <t>• Has good knowledge of the Module design and code base. 
• Is aware of the overall Product Architecture (where does the Module fit in).
• Has a strong hold on Technology Platform. 
• Has exposure to Design Patterns &amp; Best Practices and its application in the module assigned.
• Is aware of upcoming trends in the technologies used.
• Ensures parameters such as Performance, Security are considered while judging impact of new developments.</t>
  </si>
  <si>
    <t xml:space="preserve">• Possesses strong knowledge of the Product Architecture and overall code base. 
• Has implemented several enhancements &amp; bug fixes. 
• Has deep knowledge of the technology platform. 
• Has undergone multiple software development lifecycles. 
• Keeps abreast of new technologies.  
• Reads published articles/manuals and shares that with the group. 
• Keeps abreast of latest trends in Product Development cycle and management. 
• Has sound knowledge of the Functional Domain.
</t>
  </si>
  <si>
    <t xml:space="preserve">• Can easily visualize the changes required for most features or bug fixes. 
• Uses tools to enhance productivity such as dis-assemblers, de-compilers, debuggers etc. 
• Evaluates alpha/preview versions and aids decision making. 
• Actively optimizes the Product Development cycle. 
• Demonstrates market awareness while proposing solutions. 
• Aids the collective learning of the group.
</t>
  </si>
  <si>
    <t xml:space="preserve">Ensure compliance with processes related to 
• Organizational/Group Standards &amp; Policy 
• Timely and accurate Timesheets
• Code &amp; Configuration Management
• Appraisals
• Trainings
• Attendance
• Leaves
• Reporting
• Escalations, etc.
</t>
  </si>
  <si>
    <t xml:space="preserve">• Performs the activities of the project with respect to the defined processes. 
• Identifies opportunities for process improvisation.
</t>
  </si>
  <si>
    <t xml:space="preserve">• Monitors the processes performed during project execution so that potential problems can be identified and corrective action can be taken in timely manner. 
• Drives the execution of planned process improvisations.
• Define and ensure adherence to quality metrics.
</t>
  </si>
  <si>
    <t xml:space="preserve">• Identifies basic problems and communicates the same to the supervisor in a clear, correct and succinct way.
• Resolves basic problems by locating required information from well-known and easily available resources
</t>
  </si>
  <si>
    <t xml:space="preserve">• Understands &amp; applies technical &amp; functional knowledge to analyze problem and problem patterns. 
• Identifies links between situations and gathered information and/or data.
• Suggests and conducts additional analysis
• Makes rational judgment to produce a workable solution.
• Communicates with appropriate stakeholders through forums like Change Control Boards (CCB), emails, etc.
</t>
  </si>
  <si>
    <t xml:space="preserve">• Identifies the cause and effect of the workable solutions to validate &amp; choose the right one. 
• Shares knowledge with others in a structured manner suitable for the target audience. 
• Predicts similar patterns elsewhere. 
• Participates actively in CCBs, analyzes and asks relevant questions.
</t>
  </si>
  <si>
    <t xml:space="preserve">• Understands the entirety of the problem vis-à-vis the inter-linkages across various departments and functions. 
• Assesses escalations in an appropriate manner, with full understanding of the ramifications
</t>
  </si>
  <si>
    <t xml:space="preserve">• Works in a systematic, methodical &amp; orderly way and consistently achieves self-goals. 
• Follows procedure &amp; policies. 
• Delivers assigned tasks on time with quality.
• Red flags items on time.
</t>
  </si>
  <si>
    <t>• Manages self-schedule systematically and prioritizes tasks for on-time delivery. 
• Respects other people’s time. 
• Plans not only for tasks but also for resources (hardware &amp; software) required to complete the job.
• Looks beyond existing processes to suggest potential improvement areas 
• Provides accurate effort estimates by identifying logical sequences of activities to accomplish tasks.
• Prioritizes key tasks that need to be achieved within a prescribed timeline</t>
  </si>
  <si>
    <t xml:space="preserve">• Monitors &amp; maintains quality &amp; productivity of self and others to achieve group objectives. 
• Consistently achieves goals for the team. 
• Pro-actively fore-sees and tackles red flag items.
• Proposes process improvements and supports proposal with appropriate data and evidence.
</t>
  </si>
  <si>
    <t xml:space="preserve">• Values the input and know-how of other team members. 
• Asks for help, when needed.
• Adapts to the ways of the team. 
• Upholds ethics and values. 
• Upholds team spirit
• Demonstrates integrity. 
</t>
  </si>
  <si>
    <t xml:space="preserve">• Communicates a clear vision of team goals and objectives. 
• Is able to resolve all conflicts, individual, team and cross-team.
• Cultivates personal networks in different parts of the organization and is able to effectively use them to achieve results.
• Works in a bias-free mode as demonstrated by hiring choices, assignment distribution, work team composition
</t>
  </si>
  <si>
    <t xml:space="preserve">• Uses varied communication systems, methodologies and strategies to promote dialogue and shared understanding. 
• Anticipates further questions &amp; communicates pro-actively. 
• Is comfortable with formal group presentations &amp; achieves the desired impact. 
• Creates content that suits the needs of the audience
• Encourages an open and consultative communication style.
</t>
  </si>
  <si>
    <t xml:space="preserve">Vis-à-vis internal and external senior stakeholders:
• Has quick thinking and comes up with solutions and ideas during a discussion and explains them clearly without much deliberation.  
• Is able to integrate the feedback of other team members while expressing own viewpoint. 
</t>
  </si>
  <si>
    <t xml:space="preserve">• Helps and guides team members on basic technical issues.
• Has a good understanding of at least one of the underlying technologies.
• Seeks help from required sources for complex issues.
</t>
  </si>
  <si>
    <t xml:space="preserve">• Has basic understanding of applications business usage.
• Participates and contributes in functional discussions for simple enhancements.
</t>
  </si>
  <si>
    <t xml:space="preserve">• Handles more complicated projects involving more human and material resources to deliver a task on time. 
• Possesses skills to document data and timelines in an orderly fashion in order to ensure the smooth running of a project.
• Coordinates with onsite stakeholders successfully. 
</t>
  </si>
  <si>
    <t xml:space="preserve">• Has the ability to mold and retain employees. 
• Helps direct reports grow as professionals.
• Provides timely and constructive feedback to all team members.
</t>
  </si>
  <si>
    <t xml:space="preserve">• Understands and integrates the business aspect with the people aspects to achieve the required balance. 
• Acts as a role model for others. 
• Fully imbibes the concept that “people are the most important assets in Vistaar”.
</t>
  </si>
  <si>
    <t xml:space="preserve">• Takes ownership of deliverables.
• Makes clear decisions at the right time. 
• Holds oneself with integrity and takes full responsibility for the decisions made.
• Executes on time.
• Gathers required data to take an informed decision.
</t>
  </si>
  <si>
    <t xml:space="preserve">• Takes lead on difficult tasks and shows the way out by performing them first. 
• Not only shows the way but also enables team to think and learn on their own.
• Motivates the team.
• Empowers team members.
</t>
  </si>
  <si>
    <t xml:space="preserve">• Demonstrates leadership skills in difficult situations. 
• Delegates work appropriately and fairly. 
• Communicates &amp; ensures that the proper next steps are taken.
</t>
  </si>
  <si>
    <t xml:space="preserve">• Decides overall organizational direction by factoring in all aspects. 
• Exhibits domain expertise. 
</t>
  </si>
  <si>
    <t xml:space="preserve">• Prepares complete test plans. 
• Ensures that quality processes are carried out through all phases of the Software Development Lifecycle. 
• Participates in analysis and design walkthroughs, as well as project meetings. 
• Works closely with the technical team to come up with the right data sets for conducting benchmarks.
• Emphasizes the quality assurance system for catching defects before they get into the final product 
• Identifies data sets that should be used to simulate real customer scenarios.
</t>
  </si>
  <si>
    <t xml:space="preserve">• Optimizes the System Testing Cycle without compromising on quality. 
• Comes up with the Performance Benchmarking plan and the suggestions. 
• Ensures Quality assurance &amp; Quality control. 
• Works with Technical architects and programmers to create/analyze required project documents and ensures that quality assurance processes are incorporated. 
• Develops and implements efficient and effective testing strategy, test conditions and test scripts for approved project.
• Comes up with publishable test reports that can be shared with customers (both internal and external)
• Facilitates sessions with PSO to ensure that the testing team understands real user scenarios.
</t>
  </si>
  <si>
    <t xml:space="preserve">• Manages the team’s aspirations and motivations while balancing their needs and the organizational needs.
• Is fair in allocating praise and criticism, within a team.
• Examines the impact of current and/or upcoming changes on the work group processes and provides direction to others on adjusting accordingly 
• Anticipates and takes action to avoid/reduce potential conflict within the team.
</t>
  </si>
  <si>
    <t>Technical &amp; Functional Understanding</t>
  </si>
  <si>
    <t xml:space="preserve">The ability to understand which of the test flows can be automated and automate those, either using the tool or scripting. Ability to understand the complexity of the product lines and carry out Performance, Scalability and Reliability testing. </t>
  </si>
  <si>
    <t xml:space="preserve">• Prepares complete test cases. 
• Reviews the test case and adds/suggests new test cases from customer’s point of view . 
• Owns and manages test environments.
• Prepares reusable data sets that can be used to simulate real customer scenarios 
• Defect leakage analysis  for the customer reported defects
</t>
  </si>
  <si>
    <t xml:space="preserve">• Is able to record-and-play the test flows with the help of automation tool. 
• Executes the Automation testing Suite 
• Executes PSR test cases and reports results 
</t>
  </si>
  <si>
    <t xml:space="preserve">• Is able to automate test flows by writing the scripts(eg: VBA, Shell)
• Ensures basic error handling and that all unit test cases are covered properly.
• Evaluates new tools which suits our product
• Comes up with flows for the PSR testing. 
• Performs effective code reviews. 
• Prepares PSR test scenarios/cases, and conducts PSR environment setup
• Creates data for PSR
</t>
  </si>
  <si>
    <t xml:space="preserve">• Designs Automation framework. 
• Reviews the automation scripts and defines the guidelines for coding. 
• Decomposes requirements and develops test automation for projects of simple to high complexity
• Practices automation development efficiency, maintainability and reusability. 
• Ensures defined architectural and development standards are followed by the automation team. 
• Follows good design practices to ensure performance, reliability, security and scalability of the system. 
• Provides technical guidance  to the automation team to ensure minimal duplication of efforts, through maximum re-use of defined solutions
• Creates PSR (Performance, Scalability &amp; Reliability) test plans
</t>
  </si>
  <si>
    <t xml:space="preserve">• Defines architectural and development standards 
• Researches and develops tools with the goal of increasing automation development quality and productivity
• Comes up with ideas to minimize the maintenance effort of the Automation suite  
• Seeks and understands big picture/business cases behind individual requirements. 
• Suggests better alternatives and flows to given requirements. 
• Ensures refactoring of relevant artifacts, as and when required.
• Analyzes the PSR data and publishes the reports.
</t>
  </si>
  <si>
    <r>
      <rPr>
        <b/>
        <sz val="11"/>
        <color rgb="FFFF0000"/>
        <rFont val="Calibri"/>
        <family val="2"/>
        <scheme val="minor"/>
      </rPr>
      <t>Weightage Table</t>
    </r>
    <r>
      <rPr>
        <sz val="11"/>
        <color theme="1"/>
        <rFont val="Calibri"/>
        <family val="2"/>
        <scheme val="minor"/>
      </rPr>
      <t xml:space="preserve">: </t>
    </r>
  </si>
  <si>
    <t>Employee's Closing Comments</t>
  </si>
  <si>
    <t>Assessor's Closing Comments</t>
  </si>
  <si>
    <t>Name of Assessor:</t>
  </si>
  <si>
    <t>Assessor's Comments</t>
  </si>
  <si>
    <t>Manager/Assessor's Signature with date:</t>
  </si>
  <si>
    <t xml:space="preserve"> </t>
  </si>
  <si>
    <t>OVERRIDE</t>
  </si>
  <si>
    <t>ADDENDUM</t>
  </si>
  <si>
    <t>Your thorough and timely participation in the appraisal process will help facilitate a fair and comprehensive review of your progress and accomplishments since the last performance review /your hiring date (as applicable).</t>
  </si>
  <si>
    <t>List your most significant accomplishments or contributions for this cycle. How do these achievements align with the goals/objectives outlined in your last review (if applicable)?  Were any of these outside your scope of regular work?</t>
  </si>
  <si>
    <t>Were there any important targets that you could not achieve in this appraisal cycle? Please give reasons.</t>
  </si>
  <si>
    <t xml:space="preserve">What activities have you initiated, or actively participated in, in effort to encourage teamwork within your group and/or office? What was the result? </t>
  </si>
  <si>
    <t>How would you rate your professional development on a scale of 10 - please give details.</t>
  </si>
  <si>
    <t xml:space="preserve">Describe areas you feel require improvement in terms of your professional capabilities. List the steps you plan to take and/or the resources you need to accomplish this. </t>
  </si>
  <si>
    <t>State your career aspirations and the steps you plan to take to achieve those.</t>
  </si>
  <si>
    <t>Any other comments..</t>
  </si>
  <si>
    <t>AA</t>
  </si>
  <si>
    <t>AM - QC</t>
  </si>
  <si>
    <t>Tushar Tiwari</t>
  </si>
  <si>
    <t>V0115</t>
  </si>
  <si>
    <t>VIP0115</t>
  </si>
  <si>
    <t>Baljit Singh Sond</t>
  </si>
  <si>
    <t>I've noticed occasions where I overlook critical information or make tiny errors, and I'm actively attempting to improve in this area. To address this, I am employing techniques to improve my attention to detail and reduce oversights. I'm devoting more time to thorough evaluation before completing jobs, valuing quality over speed. Along with these efforts, I'm looking into ways for better organization and focus, such as time management and mindfulness activities. By committing to these changes, I hope to drastically reduce errors and improve the general quality of my work.</t>
  </si>
  <si>
    <t>As of now, my primary career aspirations revolve around expanding my technical expertise and deepening my domain knowledge.I'm actively investing time and effort into learning , exploring new technologies, and delving into industry-specific topics relevant to my work.</t>
  </si>
  <si>
    <t>I don't think there's anything I've missed on my end. I've been pretty thorough and focused on hitting my goals. Going forward, I'll keep up the same level of diligence .</t>
  </si>
  <si>
    <t>Solution Delivery</t>
  </si>
  <si>
    <t>Automate  few of the routine task</t>
  </si>
  <si>
    <t>I tried to automate script call which are used frequently</t>
  </si>
  <si>
    <t>Resolved client tickets timely and monitor batch jobs</t>
  </si>
  <si>
    <t>Worked on TopSale development Task</t>
  </si>
  <si>
    <t xml:space="preserve">I have been working on topsale development work </t>
  </si>
  <si>
    <t>Worked on RNDC Production Tickets and issues</t>
  </si>
  <si>
    <t>I participated in all of the team outings and lunch activities. I also actively engaged in the instill session, were we had to present on a specific topic.</t>
  </si>
  <si>
    <t>I worked on the run-maintain team, looking into production issues and monitoring daily jobs. I attempted to automate common tasks to reduce manual effort. I consistently provided timely resolutions to customer tickets. For the past few months, I've also been working in the TopSale development team, aiming to fulfill tasks assigned by my senior.</t>
  </si>
  <si>
    <t>I would rate myself 8/10, acknowledging that I am continually working on addressing the areas for improvement highlighted by my seniors. Over the past year, I've made significant strides in my professional development, gaining valuable experience and expanding my skill set. However, I recognize that there is always room for growth, and I remain committed to ongoing learning , self-improvement and not repeating mistakes.</t>
  </si>
  <si>
    <t>Meets the basic criteria. Has been good in verbal and written communications within the team.</t>
  </si>
  <si>
    <t>Meets the basic criteria. Created few general documents for self-reference and was involved in production deployments task list docs as well.</t>
  </si>
  <si>
    <t>Tushar has worked on the DPM production tickets - data corrections, service requests, debigging of issues - and has done well in these areas with minimal guidance from seniors. He got a good hold on the DPM functionality to quickly debug any issue that gets reported.</t>
  </si>
  <si>
    <t>Being in production support &amp; run-maintain, Tushar understands the criticality of the work that he has to do on a given day and has ensured that keeps himself available and completes the tasks on time. He has been also been available over multiple weekends for various produciton activities - deployments, service requests.</t>
  </si>
  <si>
    <t>Tushar interacts well within the team and has been available whenever the team needs him. He has helped other team members in some of their tasks related to RNDC/Lipman Production</t>
  </si>
  <si>
    <t>Tushar has worked on shell scripting/java script/sqls, he has automated few queries/tasks that has reduced manual effort to an extent. He has also started working in TopSale development recently.</t>
  </si>
  <si>
    <t>Learned Shell scripting on his own and has done very well in writing scripts in the DPM Productiion support and run-maintain. He has been able to take up reponsibilities in absence of seniors.</t>
  </si>
  <si>
    <t>To work on major/complex TopSale/DPM enhancements with minimal guidance</t>
  </si>
  <si>
    <t>To understand the TopSale/DPM solution functionality in detail</t>
  </si>
  <si>
    <t>To understand the Analytics framework in detail and provide support.</t>
  </si>
  <si>
    <t>To take complete ownership of the tasks assigned.</t>
  </si>
  <si>
    <t>Has followed the basic processes set by the company. Tushar has been regular in providing daily status updates. Must ensure that all defined steps as per the task list are executed and nothing is getting missed as it can have a major impact on other production activities for users.</t>
  </si>
  <si>
    <t>Must ensure task list is followed thoroughly.</t>
  </si>
  <si>
    <t>Tushar has done very well in DPM Production and Run-maintain activities. He has worked on multiple service requests, looked into production issues and provided solutions, automated certain sqls/scripts. He has been available during weekends for multiple production activities and has executed the production tasks successully during the weekends. Tushar has also started working on TopSale development activities recently and has been doing overall good work.</t>
  </si>
  <si>
    <t>I am satisfied with the rating and will continue to learn, self-improve, and address my weak points. I am committed to ongoing improvement and will work continuously towards the goals laid out  for next cycle.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</si>
</sst>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0_ ;[Red]\-#,##0.00\ "/>
  </numFmts>
  <fonts count="30" x14ac:knownFonts="1">
    <font>
      <sz val="11"/>
      <color theme="1"/>
      <name val="Calibri"/>
      <family val="2"/>
      <scheme val="minor"/>
    </font>
    <font>
      <b/>
      <sz val="11"/>
      <color theme="1"/>
      <name val="Calibri"/>
      <family val="2"/>
      <scheme val="minor"/>
    </font>
    <font>
      <sz val="10"/>
      <color theme="1"/>
      <name val="Calibri"/>
      <family val="2"/>
      <scheme val="minor"/>
    </font>
    <font>
      <b/>
      <sz val="14"/>
      <color theme="1"/>
      <name val="Calibri"/>
      <family val="2"/>
      <scheme val="minor"/>
    </font>
    <font>
      <b/>
      <sz val="10"/>
      <color theme="1"/>
      <name val="Calibri"/>
      <family val="2"/>
      <scheme val="minor"/>
    </font>
    <font>
      <b/>
      <sz val="14"/>
      <color theme="0"/>
      <name val="Calibri"/>
      <family val="2"/>
      <scheme val="minor"/>
    </font>
    <font>
      <b/>
      <sz val="11"/>
      <name val="Calibri"/>
      <family val="2"/>
      <scheme val="minor"/>
    </font>
    <font>
      <sz val="9"/>
      <color theme="1"/>
      <name val="Calibri"/>
      <family val="2"/>
      <scheme val="minor"/>
    </font>
    <font>
      <b/>
      <sz val="9"/>
      <color theme="1"/>
      <name val="Calibri"/>
      <family val="2"/>
      <scheme val="minor"/>
    </font>
    <font>
      <b/>
      <sz val="10"/>
      <color theme="0"/>
      <name val="Calibri"/>
      <family val="2"/>
      <scheme val="minor"/>
    </font>
    <font>
      <sz val="9"/>
      <name val="Calibri"/>
      <family val="2"/>
      <scheme val="minor"/>
    </font>
    <font>
      <sz val="8"/>
      <color theme="1"/>
      <name val="Calibri"/>
      <family val="2"/>
      <scheme val="minor"/>
    </font>
    <font>
      <b/>
      <sz val="9"/>
      <color rgb="FFFF0000"/>
      <name val="Calibri"/>
      <family val="2"/>
      <scheme val="minor"/>
    </font>
    <font>
      <b/>
      <sz val="9"/>
      <color theme="0"/>
      <name val="Calibri"/>
      <family val="2"/>
      <scheme val="minor"/>
    </font>
    <font>
      <b/>
      <sz val="11"/>
      <color theme="0"/>
      <name val="Calibri"/>
      <family val="2"/>
      <scheme val="minor"/>
    </font>
    <font>
      <b/>
      <sz val="11"/>
      <color rgb="FFFF0000"/>
      <name val="Calibri"/>
      <family val="2"/>
      <scheme val="minor"/>
    </font>
    <font>
      <sz val="9"/>
      <color indexed="81"/>
      <name val="Tahoma"/>
      <family val="2"/>
    </font>
    <font>
      <b/>
      <sz val="9"/>
      <color indexed="81"/>
      <name val="Tahoma"/>
      <family val="2"/>
    </font>
    <font>
      <sz val="9"/>
      <color rgb="FFCCFF99"/>
      <name val="Calibri"/>
      <family val="2"/>
      <scheme val="minor"/>
    </font>
    <font>
      <b/>
      <sz val="12"/>
      <color rgb="FFC00000"/>
      <name val="Calibri"/>
      <family val="2"/>
      <scheme val="minor"/>
    </font>
    <font>
      <b/>
      <sz val="12"/>
      <color theme="0"/>
      <name val="Calibri"/>
      <family val="2"/>
      <scheme val="minor"/>
    </font>
    <font>
      <i/>
      <sz val="11"/>
      <color theme="1"/>
      <name val="Calibri"/>
      <family val="2"/>
      <scheme val="minor"/>
    </font>
    <font>
      <b/>
      <sz val="9"/>
      <name val="Calibri"/>
      <family val="2"/>
      <scheme val="minor"/>
    </font>
    <font>
      <sz val="10"/>
      <color rgb="FFCCFF99"/>
      <name val="Calibri"/>
      <family val="2"/>
      <scheme val="minor"/>
    </font>
    <font>
      <sz val="11"/>
      <color theme="1"/>
      <name val="Calibri"/>
      <family val="2"/>
      <scheme val="minor"/>
    </font>
    <font>
      <b/>
      <sz val="10"/>
      <color theme="1"/>
      <name val="Arial"/>
      <family val="2"/>
    </font>
    <font>
      <b/>
      <sz val="9"/>
      <color theme="1"/>
      <name val="Arial"/>
      <family val="2"/>
    </font>
    <font>
      <sz val="9"/>
      <color theme="1"/>
      <name val="Arial"/>
      <family val="2"/>
    </font>
    <font>
      <b/>
      <sz val="9"/>
      <color theme="0"/>
      <name val="Arial"/>
      <family val="2"/>
    </font>
    <font>
      <sz val="10"/>
      <color theme="1"/>
      <name val="Arial"/>
      <family val="2"/>
    </font>
  </fonts>
  <fills count="10">
    <fill>
      <patternFill patternType="none"/>
    </fill>
    <fill>
      <patternFill patternType="gray125"/>
    </fill>
    <fill>
      <patternFill patternType="solid">
        <fgColor rgb="FF00B0F0"/>
        <bgColor indexed="64"/>
      </patternFill>
    </fill>
    <fill>
      <patternFill patternType="solid">
        <fgColor rgb="FF00206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CCFF99"/>
        <bgColor indexed="64"/>
      </patternFill>
    </fill>
    <fill>
      <patternFill patternType="solid">
        <fgColor theme="8" tint="0.79998168889431442"/>
        <bgColor indexed="64"/>
      </patternFill>
    </fill>
    <fill>
      <patternFill patternType="solid">
        <fgColor rgb="FFFFFF00"/>
        <bgColor indexed="64"/>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theme="0"/>
      </right>
      <top/>
      <bottom style="thin">
        <color indexed="64"/>
      </bottom>
      <diagonal/>
    </border>
    <border>
      <left style="thin">
        <color indexed="64"/>
      </left>
      <right style="thin">
        <color theme="0"/>
      </right>
      <top/>
      <bottom style="thin">
        <color indexed="64"/>
      </bottom>
      <diagonal/>
    </border>
    <border>
      <left style="thin">
        <color indexed="64"/>
      </left>
      <right/>
      <top/>
      <bottom/>
      <diagonal/>
    </border>
  </borders>
  <cellStyleXfs count="2">
    <xf numFmtId="0" fontId="0" fillId="0" borderId="0"/>
    <xf numFmtId="0" fontId="24" fillId="0" borderId="0"/>
  </cellStyleXfs>
  <cellXfs count="136">
    <xf numFmtId="0" fontId="0" fillId="0" borderId="0" xfId="0"/>
    <xf numFmtId="0" fontId="10" fillId="6" borderId="0" xfId="0" applyFont="1" applyFill="1" applyProtection="1">
      <protection hidden="1"/>
    </xf>
    <xf numFmtId="0" fontId="7" fillId="6" borderId="0" xfId="0" applyFont="1" applyFill="1" applyProtection="1">
      <protection hidden="1"/>
    </xf>
    <xf numFmtId="0" fontId="2" fillId="0" borderId="0" xfId="0" applyFont="1" applyProtection="1">
      <protection hidden="1"/>
    </xf>
    <xf numFmtId="0" fontId="7" fillId="0" borderId="0" xfId="0" applyFont="1" applyProtection="1">
      <protection hidden="1"/>
    </xf>
    <xf numFmtId="165" fontId="2" fillId="0" borderId="1" xfId="0" applyNumberFormat="1" applyFont="1" applyBorder="1" applyAlignment="1" applyProtection="1">
      <alignment horizontal="right" vertical="center"/>
      <protection hidden="1"/>
    </xf>
    <xf numFmtId="0" fontId="7" fillId="0" borderId="0" xfId="0" applyFont="1" applyAlignment="1" applyProtection="1">
      <alignment horizontal="center"/>
      <protection hidden="1"/>
    </xf>
    <xf numFmtId="0" fontId="13" fillId="6" borderId="0" xfId="0" applyFont="1" applyFill="1" applyAlignment="1" applyProtection="1">
      <alignment horizontal="center" vertical="center" wrapText="1"/>
      <protection hidden="1"/>
    </xf>
    <xf numFmtId="0" fontId="9" fillId="3" borderId="1" xfId="0" applyFont="1" applyFill="1" applyBorder="1" applyProtection="1">
      <protection hidden="1"/>
    </xf>
    <xf numFmtId="165" fontId="8" fillId="0" borderId="1" xfId="0" applyNumberFormat="1" applyFont="1" applyBorder="1" applyAlignment="1" applyProtection="1">
      <alignment horizontal="center" vertical="center" wrapText="1"/>
      <protection hidden="1"/>
    </xf>
    <xf numFmtId="0" fontId="8" fillId="2" borderId="1" xfId="0" applyFont="1" applyFill="1" applyBorder="1" applyAlignment="1" applyProtection="1">
      <alignment horizontal="left" vertical="center" wrapText="1"/>
      <protection hidden="1"/>
    </xf>
    <xf numFmtId="0" fontId="2" fillId="0" borderId="1" xfId="0" applyFont="1" applyBorder="1" applyAlignment="1" applyProtection="1">
      <alignment horizontal="center" vertical="center" wrapText="1"/>
      <protection locked="0"/>
    </xf>
    <xf numFmtId="0" fontId="7" fillId="0" borderId="1" xfId="0" applyFont="1" applyBorder="1" applyAlignment="1">
      <alignment horizontal="left" vertical="top" wrapText="1"/>
    </xf>
    <xf numFmtId="0" fontId="4" fillId="2" borderId="1" xfId="0" applyFont="1" applyFill="1" applyBorder="1" applyAlignment="1">
      <alignment vertical="center" wrapText="1"/>
    </xf>
    <xf numFmtId="0" fontId="0" fillId="0" borderId="1" xfId="0" applyBorder="1"/>
    <xf numFmtId="0" fontId="7" fillId="0" borderId="1" xfId="0" applyFont="1" applyBorder="1" applyAlignment="1">
      <alignment vertical="top" wrapText="1"/>
    </xf>
    <xf numFmtId="0" fontId="0" fillId="0" borderId="0" xfId="0" applyProtection="1">
      <protection hidden="1"/>
    </xf>
    <xf numFmtId="0" fontId="0" fillId="0" borderId="0" xfId="0" applyAlignment="1" applyProtection="1">
      <alignment wrapText="1"/>
      <protection hidden="1"/>
    </xf>
    <xf numFmtId="0" fontId="3" fillId="6" borderId="0" xfId="0" applyFont="1" applyFill="1" applyProtection="1">
      <protection hidden="1"/>
    </xf>
    <xf numFmtId="0" fontId="4" fillId="5" borderId="1" xfId="0" applyFont="1" applyFill="1" applyBorder="1" applyProtection="1">
      <protection hidden="1"/>
    </xf>
    <xf numFmtId="0" fontId="0" fillId="6" borderId="0" xfId="0" applyFill="1" applyProtection="1">
      <protection hidden="1"/>
    </xf>
    <xf numFmtId="0" fontId="3" fillId="0" borderId="0" xfId="0" applyFont="1" applyProtection="1">
      <protection hidden="1"/>
    </xf>
    <xf numFmtId="0" fontId="4" fillId="2" borderId="1" xfId="0" applyFont="1" applyFill="1" applyBorder="1" applyAlignment="1" applyProtection="1">
      <alignment vertical="center" wrapText="1"/>
      <protection hidden="1"/>
    </xf>
    <xf numFmtId="0" fontId="2" fillId="6" borderId="0" xfId="0" applyFont="1" applyFill="1" applyProtection="1">
      <protection hidden="1"/>
    </xf>
    <xf numFmtId="0" fontId="7" fillId="0" borderId="1" xfId="0" applyFont="1" applyBorder="1" applyAlignment="1" applyProtection="1">
      <alignment horizontal="left" vertical="top" wrapText="1"/>
      <protection locked="0"/>
    </xf>
    <xf numFmtId="0" fontId="15" fillId="0" borderId="2" xfId="0" applyFont="1"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0" xfId="0" applyAlignment="1" applyProtection="1">
      <alignment horizontal="left" vertical="center"/>
      <protection hidden="1"/>
    </xf>
    <xf numFmtId="0" fontId="15" fillId="0" borderId="4" xfId="0" applyFont="1" applyBorder="1" applyAlignment="1" applyProtection="1">
      <alignment horizontal="left" vertical="center"/>
      <protection hidden="1"/>
    </xf>
    <xf numFmtId="0" fontId="2" fillId="0" borderId="1" xfId="0" applyFont="1" applyBorder="1" applyProtection="1">
      <protection locked="0"/>
    </xf>
    <xf numFmtId="9" fontId="2" fillId="0" borderId="1" xfId="0" applyNumberFormat="1" applyFont="1" applyBorder="1" applyAlignment="1" applyProtection="1">
      <alignment horizontal="right" vertical="center" wrapText="1"/>
      <protection hidden="1"/>
    </xf>
    <xf numFmtId="165" fontId="7" fillId="0" borderId="1" xfId="0" applyNumberFormat="1" applyFont="1" applyBorder="1" applyAlignment="1" applyProtection="1">
      <alignment horizontal="center"/>
      <protection hidden="1"/>
    </xf>
    <xf numFmtId="0" fontId="7" fillId="0" borderId="1" xfId="0" applyFont="1" applyBorder="1" applyAlignment="1" applyProtection="1">
      <alignment vertical="top" wrapText="1"/>
      <protection hidden="1"/>
    </xf>
    <xf numFmtId="0" fontId="7" fillId="0" borderId="1" xfId="0" applyFont="1" applyBorder="1" applyAlignment="1" applyProtection="1">
      <alignment horizontal="left" vertical="top" wrapText="1"/>
      <protection hidden="1"/>
    </xf>
    <xf numFmtId="0" fontId="18" fillId="6" borderId="0" xfId="0" applyFont="1" applyFill="1" applyProtection="1">
      <protection hidden="1"/>
    </xf>
    <xf numFmtId="0" fontId="8" fillId="2" borderId="1" xfId="0" applyFont="1" applyFill="1" applyBorder="1" applyAlignment="1" applyProtection="1">
      <alignment horizontal="center" vertical="top" wrapText="1"/>
      <protection hidden="1"/>
    </xf>
    <xf numFmtId="0" fontId="0" fillId="0" borderId="15" xfId="0" applyBorder="1"/>
    <xf numFmtId="0" fontId="4" fillId="2" borderId="15" xfId="0" applyFont="1" applyFill="1" applyBorder="1" applyAlignment="1">
      <alignment vertical="center" wrapText="1"/>
    </xf>
    <xf numFmtId="0" fontId="0" fillId="0" borderId="0" xfId="0" applyAlignment="1" applyProtection="1">
      <alignment horizontal="center"/>
      <protection hidden="1"/>
    </xf>
    <xf numFmtId="0" fontId="0" fillId="0" borderId="4" xfId="0" applyBorder="1" applyAlignment="1" applyProtection="1">
      <alignment horizontal="left" vertical="center" wrapText="1"/>
      <protection hidden="1"/>
    </xf>
    <xf numFmtId="0" fontId="0" fillId="0" borderId="0" xfId="0" applyAlignment="1" applyProtection="1">
      <alignment horizontal="left" vertical="center" wrapText="1"/>
      <protection hidden="1"/>
    </xf>
    <xf numFmtId="9" fontId="0" fillId="0" borderId="16" xfId="0" applyNumberFormat="1" applyBorder="1" applyProtection="1">
      <protection hidden="1"/>
    </xf>
    <xf numFmtId="0" fontId="0" fillId="0" borderId="16" xfId="0" applyBorder="1" applyProtection="1">
      <protection hidden="1"/>
    </xf>
    <xf numFmtId="0" fontId="0" fillId="0" borderId="4" xfId="0" applyBorder="1" applyAlignment="1" applyProtection="1">
      <alignment vertical="center" wrapText="1"/>
      <protection hidden="1"/>
    </xf>
    <xf numFmtId="0" fontId="0" fillId="0" borderId="0" xfId="0" applyAlignment="1" applyProtection="1">
      <alignment vertical="center" wrapText="1"/>
      <protection hidden="1"/>
    </xf>
    <xf numFmtId="0" fontId="15" fillId="0" borderId="0" xfId="0" applyFont="1" applyAlignment="1" applyProtection="1">
      <alignment horizontal="left" vertical="center"/>
      <protection hidden="1"/>
    </xf>
    <xf numFmtId="0" fontId="14" fillId="0" borderId="0" xfId="0" applyFont="1" applyAlignment="1" applyProtection="1">
      <alignment horizontal="center" vertical="center"/>
      <protection hidden="1"/>
    </xf>
    <xf numFmtId="0" fontId="20" fillId="0" borderId="0" xfId="0" applyFont="1" applyAlignment="1" applyProtection="1">
      <alignment horizontal="center" vertical="center"/>
      <protection hidden="1"/>
    </xf>
    <xf numFmtId="0" fontId="0" fillId="0" borderId="0" xfId="0" applyAlignment="1" applyProtection="1">
      <alignment horizontal="center" wrapText="1"/>
      <protection hidden="1"/>
    </xf>
    <xf numFmtId="0" fontId="0" fillId="0" borderId="4" xfId="0" applyBorder="1" applyAlignment="1" applyProtection="1">
      <alignment vertical="center"/>
      <protection hidden="1"/>
    </xf>
    <xf numFmtId="0" fontId="0" fillId="0" borderId="0" xfId="0" applyAlignment="1" applyProtection="1">
      <alignment vertical="center"/>
      <protection hidden="1"/>
    </xf>
    <xf numFmtId="0" fontId="21" fillId="0" borderId="0" xfId="0" applyFont="1" applyProtection="1">
      <protection hidden="1"/>
    </xf>
    <xf numFmtId="0" fontId="14" fillId="3" borderId="14" xfId="0" applyFont="1" applyFill="1" applyBorder="1" applyAlignment="1" applyProtection="1">
      <alignment horizontal="center"/>
      <protection hidden="1"/>
    </xf>
    <xf numFmtId="0" fontId="21" fillId="0" borderId="15" xfId="0" applyFont="1" applyBorder="1" applyProtection="1">
      <protection hidden="1"/>
    </xf>
    <xf numFmtId="9" fontId="0" fillId="0" borderId="17" xfId="0" applyNumberFormat="1" applyBorder="1" applyProtection="1">
      <protection hidden="1"/>
    </xf>
    <xf numFmtId="0" fontId="0" fillId="0" borderId="17" xfId="0" applyBorder="1" applyProtection="1">
      <protection hidden="1"/>
    </xf>
    <xf numFmtId="0" fontId="14" fillId="3" borderId="14" xfId="0" applyFont="1" applyFill="1" applyBorder="1" applyProtection="1">
      <protection hidden="1"/>
    </xf>
    <xf numFmtId="0" fontId="8" fillId="2" borderId="16" xfId="0" applyFont="1" applyFill="1" applyBorder="1" applyAlignment="1" applyProtection="1">
      <alignment vertical="center" wrapText="1"/>
      <protection hidden="1"/>
    </xf>
    <xf numFmtId="0" fontId="8" fillId="5" borderId="15" xfId="0" applyFont="1" applyFill="1" applyBorder="1" applyAlignment="1" applyProtection="1">
      <alignment vertical="center" wrapText="1"/>
      <protection hidden="1"/>
    </xf>
    <xf numFmtId="9" fontId="0" fillId="0" borderId="16" xfId="0" applyNumberFormat="1" applyBorder="1" applyAlignment="1" applyProtection="1">
      <alignment horizontal="center"/>
      <protection hidden="1"/>
    </xf>
    <xf numFmtId="9" fontId="0" fillId="5" borderId="15" xfId="0" applyNumberFormat="1" applyFill="1" applyBorder="1" applyAlignment="1" applyProtection="1">
      <alignment horizontal="center"/>
      <protection hidden="1"/>
    </xf>
    <xf numFmtId="0" fontId="14" fillId="3" borderId="5" xfId="0" applyFont="1" applyFill="1" applyBorder="1" applyAlignment="1" applyProtection="1">
      <alignment horizontal="center"/>
      <protection hidden="1"/>
    </xf>
    <xf numFmtId="0" fontId="14" fillId="3" borderId="18" xfId="0" applyFont="1" applyFill="1" applyBorder="1" applyAlignment="1">
      <alignment horizontal="center"/>
    </xf>
    <xf numFmtId="0" fontId="14" fillId="3" borderId="19" xfId="0" applyFont="1" applyFill="1" applyBorder="1" applyAlignment="1">
      <alignment horizontal="center"/>
    </xf>
    <xf numFmtId="0" fontId="14" fillId="3" borderId="11" xfId="0" applyFont="1" applyFill="1" applyBorder="1" applyAlignment="1">
      <alignment horizontal="center"/>
    </xf>
    <xf numFmtId="165" fontId="7" fillId="0" borderId="14" xfId="0" applyNumberFormat="1" applyFont="1" applyBorder="1" applyAlignment="1" applyProtection="1">
      <alignment horizontal="center"/>
      <protection hidden="1"/>
    </xf>
    <xf numFmtId="0" fontId="14" fillId="3" borderId="8" xfId="0" applyFont="1" applyFill="1" applyBorder="1" applyAlignment="1" applyProtection="1">
      <alignment horizontal="center"/>
      <protection hidden="1"/>
    </xf>
    <xf numFmtId="9" fontId="0" fillId="0" borderId="20" xfId="0" applyNumberFormat="1" applyBorder="1" applyProtection="1">
      <protection hidden="1"/>
    </xf>
    <xf numFmtId="0" fontId="7" fillId="0" borderId="15" xfId="0" applyFont="1" applyBorder="1" applyAlignment="1">
      <alignment vertical="top" wrapText="1"/>
    </xf>
    <xf numFmtId="0" fontId="19" fillId="0" borderId="0" xfId="0" applyFont="1"/>
    <xf numFmtId="0" fontId="19" fillId="0" borderId="1" xfId="0" applyFont="1" applyBorder="1"/>
    <xf numFmtId="0" fontId="9" fillId="3" borderId="5" xfId="0" applyFont="1" applyFill="1" applyBorder="1" applyProtection="1">
      <protection hidden="1"/>
    </xf>
    <xf numFmtId="165" fontId="22" fillId="9" borderId="1" xfId="0" applyNumberFormat="1" applyFont="1" applyFill="1" applyBorder="1" applyAlignment="1" applyProtection="1">
      <alignment horizontal="center" vertical="center" wrapText="1"/>
      <protection hidden="1"/>
    </xf>
    <xf numFmtId="0" fontId="23" fillId="6" borderId="0" xfId="0" applyFont="1" applyFill="1" applyAlignment="1" applyProtection="1">
      <alignment horizontal="center" vertical="center" wrapText="1"/>
      <protection hidden="1"/>
    </xf>
    <xf numFmtId="164" fontId="4" fillId="5" borderId="1" xfId="0" applyNumberFormat="1" applyFont="1" applyFill="1" applyBorder="1" applyProtection="1">
      <protection locked="0"/>
    </xf>
    <xf numFmtId="165" fontId="7" fillId="0" borderId="1" xfId="0" applyNumberFormat="1" applyFont="1" applyBorder="1" applyAlignment="1">
      <alignment horizontal="center"/>
    </xf>
    <xf numFmtId="49" fontId="8" fillId="2" borderId="1" xfId="0" applyNumberFormat="1" applyFont="1" applyFill="1" applyBorder="1" applyAlignment="1" applyProtection="1">
      <alignment horizontal="left" vertical="center" wrapText="1"/>
      <protection hidden="1"/>
    </xf>
    <xf numFmtId="0" fontId="25" fillId="6" borderId="0" xfId="1" applyFont="1" applyFill="1" applyProtection="1">
      <protection locked="0"/>
    </xf>
    <xf numFmtId="0" fontId="26" fillId="6" borderId="0" xfId="1" applyFont="1" applyFill="1" applyProtection="1">
      <protection locked="0"/>
    </xf>
    <xf numFmtId="0" fontId="27" fillId="0" borderId="0" xfId="1" applyFont="1" applyProtection="1">
      <protection locked="0"/>
    </xf>
    <xf numFmtId="0" fontId="26" fillId="5" borderId="1" xfId="1" applyFont="1" applyFill="1" applyBorder="1" applyProtection="1">
      <protection locked="0"/>
    </xf>
    <xf numFmtId="0" fontId="29" fillId="0" borderId="0" xfId="1" applyFont="1" applyProtection="1">
      <protection locked="0"/>
    </xf>
    <xf numFmtId="0" fontId="5" fillId="3" borderId="1" xfId="0" applyFont="1" applyFill="1" applyBorder="1" applyAlignment="1" applyProtection="1">
      <alignment horizontal="center"/>
      <protection hidden="1"/>
    </xf>
    <xf numFmtId="0" fontId="4" fillId="5" borderId="1" xfId="0" applyFont="1" applyFill="1" applyBorder="1" applyProtection="1">
      <protection hidden="1"/>
    </xf>
    <xf numFmtId="0" fontId="2" fillId="0" borderId="1" xfId="0" applyFont="1" applyBorder="1" applyProtection="1">
      <protection locked="0"/>
    </xf>
    <xf numFmtId="0" fontId="4" fillId="0" borderId="1" xfId="0" applyFont="1" applyBorder="1" applyProtection="1">
      <protection locked="0"/>
    </xf>
    <xf numFmtId="0" fontId="7" fillId="0" borderId="1" xfId="0" applyFont="1" applyBorder="1" applyAlignment="1" applyProtection="1">
      <alignment horizontal="left" vertical="top" wrapText="1"/>
      <protection locked="0"/>
    </xf>
    <xf numFmtId="0" fontId="5" fillId="3" borderId="15" xfId="0" applyFont="1" applyFill="1" applyBorder="1" applyAlignment="1" applyProtection="1">
      <alignment horizontal="center"/>
      <protection hidden="1"/>
    </xf>
    <xf numFmtId="0" fontId="4" fillId="2" borderId="1" xfId="0" applyFont="1" applyFill="1" applyBorder="1" applyAlignment="1" applyProtection="1">
      <alignment vertical="center" wrapText="1"/>
      <protection hidden="1"/>
    </xf>
    <xf numFmtId="0" fontId="4" fillId="5" borderId="5" xfId="0" applyFont="1" applyFill="1" applyBorder="1" applyAlignment="1" applyProtection="1">
      <alignment horizontal="left"/>
      <protection hidden="1"/>
    </xf>
    <xf numFmtId="0" fontId="4" fillId="5" borderId="7" xfId="0" applyFont="1" applyFill="1" applyBorder="1" applyAlignment="1" applyProtection="1">
      <alignment horizontal="left"/>
      <protection hidden="1"/>
    </xf>
    <xf numFmtId="164" fontId="4" fillId="0" borderId="5" xfId="0" applyNumberFormat="1" applyFont="1" applyBorder="1" applyAlignment="1" applyProtection="1">
      <alignment horizontal="center"/>
      <protection hidden="1"/>
    </xf>
    <xf numFmtId="164" fontId="4" fillId="0" borderId="6" xfId="0" applyNumberFormat="1" applyFont="1" applyBorder="1" applyAlignment="1" applyProtection="1">
      <alignment horizontal="center"/>
      <protection hidden="1"/>
    </xf>
    <xf numFmtId="164" fontId="4" fillId="0" borderId="7" xfId="0" applyNumberFormat="1" applyFont="1" applyBorder="1" applyAlignment="1" applyProtection="1">
      <alignment horizontal="center"/>
      <protection hidden="1"/>
    </xf>
    <xf numFmtId="0" fontId="7" fillId="0" borderId="1" xfId="0" applyFont="1" applyBorder="1" applyAlignment="1" applyProtection="1">
      <alignment vertical="top" wrapText="1"/>
      <protection locked="0"/>
    </xf>
    <xf numFmtId="0" fontId="0" fillId="0" borderId="1" xfId="0" applyBorder="1" applyAlignment="1" applyProtection="1">
      <alignment vertical="top"/>
      <protection hidden="1"/>
    </xf>
    <xf numFmtId="0" fontId="0" fillId="0" borderId="1" xfId="0" applyBorder="1" applyAlignment="1" applyProtection="1">
      <alignment horizontal="left" vertical="top"/>
      <protection hidden="1"/>
    </xf>
    <xf numFmtId="0" fontId="0" fillId="0" borderId="1" xfId="0" applyBorder="1" applyAlignment="1" applyProtection="1">
      <alignment vertical="top"/>
      <protection locked="0"/>
    </xf>
    <xf numFmtId="0" fontId="1" fillId="4" borderId="1" xfId="0" applyFont="1" applyFill="1" applyBorder="1" applyAlignment="1" applyProtection="1">
      <alignment horizontal="right"/>
      <protection hidden="1"/>
    </xf>
    <xf numFmtId="0" fontId="0" fillId="4" borderId="1" xfId="0" applyFill="1" applyBorder="1" applyAlignment="1" applyProtection="1">
      <alignment horizontal="center"/>
      <protection hidden="1"/>
    </xf>
    <xf numFmtId="0" fontId="6" fillId="2" borderId="1" xfId="0" applyFont="1" applyFill="1" applyBorder="1" applyAlignment="1" applyProtection="1">
      <alignment horizontal="center"/>
      <protection hidden="1"/>
    </xf>
    <xf numFmtId="0" fontId="2" fillId="0" borderId="1" xfId="0" applyFont="1" applyBorder="1" applyAlignment="1" applyProtection="1">
      <alignment vertical="top" wrapText="1"/>
      <protection locked="0"/>
    </xf>
    <xf numFmtId="0" fontId="6" fillId="2" borderId="5" xfId="0" applyFont="1" applyFill="1" applyBorder="1" applyAlignment="1" applyProtection="1">
      <alignment horizontal="center"/>
      <protection hidden="1"/>
    </xf>
    <xf numFmtId="0" fontId="6" fillId="2" borderId="6" xfId="0" applyFont="1" applyFill="1" applyBorder="1" applyAlignment="1" applyProtection="1">
      <alignment horizontal="center"/>
      <protection hidden="1"/>
    </xf>
    <xf numFmtId="0" fontId="6" fillId="2" borderId="7" xfId="0" applyFont="1" applyFill="1" applyBorder="1" applyAlignment="1" applyProtection="1">
      <alignment horizontal="center"/>
      <protection hidden="1"/>
    </xf>
    <xf numFmtId="0" fontId="2" fillId="0" borderId="1" xfId="0" applyFont="1" applyBorder="1" applyAlignment="1" applyProtection="1">
      <alignment horizontal="left" vertical="top" wrapText="1"/>
      <protection locked="0"/>
    </xf>
    <xf numFmtId="0" fontId="27" fillId="0" borderId="1" xfId="1" applyFont="1" applyBorder="1" applyAlignment="1" applyProtection="1">
      <alignment horizontal="left" vertical="top" wrapText="1"/>
      <protection locked="0"/>
    </xf>
    <xf numFmtId="0" fontId="27" fillId="5" borderId="1" xfId="1" applyFont="1" applyFill="1" applyBorder="1" applyAlignment="1" applyProtection="1">
      <alignment horizontal="left" vertical="top" wrapText="1"/>
      <protection locked="0"/>
    </xf>
    <xf numFmtId="0" fontId="28" fillId="3" borderId="1" xfId="1" applyFont="1" applyFill="1" applyBorder="1" applyAlignment="1" applyProtection="1">
      <alignment horizontal="center"/>
      <protection locked="0"/>
    </xf>
    <xf numFmtId="0" fontId="26" fillId="5" borderId="1" xfId="1" applyFont="1" applyFill="1" applyBorder="1" applyProtection="1">
      <protection locked="0"/>
    </xf>
    <xf numFmtId="0" fontId="27" fillId="0" borderId="1" xfId="1" applyFont="1" applyBorder="1" applyProtection="1">
      <protection locked="0"/>
    </xf>
    <xf numFmtId="0" fontId="26" fillId="0" borderId="1" xfId="1" applyFont="1" applyBorder="1" applyProtection="1">
      <protection locked="0"/>
    </xf>
    <xf numFmtId="0" fontId="28" fillId="3" borderId="1" xfId="1" applyFont="1" applyFill="1" applyBorder="1" applyAlignment="1" applyProtection="1">
      <alignment horizontal="left" vertical="top" wrapText="1"/>
      <protection locked="0"/>
    </xf>
    <xf numFmtId="165" fontId="8" fillId="8" borderId="5" xfId="0" applyNumberFormat="1" applyFont="1" applyFill="1" applyBorder="1" applyAlignment="1" applyProtection="1">
      <alignment horizontal="center" vertical="center" wrapText="1"/>
      <protection locked="0" hidden="1"/>
    </xf>
    <xf numFmtId="165" fontId="8" fillId="8" borderId="7" xfId="0" applyNumberFormat="1" applyFont="1" applyFill="1" applyBorder="1" applyAlignment="1" applyProtection="1">
      <alignment horizontal="center" vertical="center" wrapText="1"/>
      <protection locked="0" hidden="1"/>
    </xf>
    <xf numFmtId="0" fontId="9" fillId="3" borderId="1" xfId="0" applyFont="1" applyFill="1" applyBorder="1" applyAlignment="1" applyProtection="1">
      <alignment horizontal="center" vertical="center" wrapText="1"/>
      <protection locked="0" hidden="1"/>
    </xf>
    <xf numFmtId="0" fontId="11" fillId="7" borderId="1" xfId="0" applyFont="1" applyFill="1" applyBorder="1" applyAlignment="1" applyProtection="1">
      <alignment vertical="top" wrapText="1"/>
      <protection hidden="1"/>
    </xf>
    <xf numFmtId="0" fontId="11" fillId="0" borderId="1" xfId="0" applyFont="1" applyBorder="1" applyAlignment="1" applyProtection="1">
      <alignment horizontal="left" vertical="top" wrapText="1"/>
      <protection hidden="1"/>
    </xf>
    <xf numFmtId="0" fontId="8" fillId="2" borderId="1" xfId="0" applyFont="1" applyFill="1" applyBorder="1" applyAlignment="1" applyProtection="1">
      <alignment horizontal="center" vertical="top" wrapText="1"/>
      <protection hidden="1"/>
    </xf>
    <xf numFmtId="0" fontId="13" fillId="3" borderId="14" xfId="0" applyFont="1" applyFill="1" applyBorder="1" applyAlignment="1" applyProtection="1">
      <alignment horizontal="center" vertical="center" wrapText="1"/>
      <protection hidden="1"/>
    </xf>
    <xf numFmtId="0" fontId="13" fillId="3" borderId="15" xfId="0" applyFont="1" applyFill="1" applyBorder="1" applyAlignment="1" applyProtection="1">
      <alignment horizontal="center" vertical="center" wrapText="1"/>
      <protection hidden="1"/>
    </xf>
    <xf numFmtId="0" fontId="13" fillId="3" borderId="1" xfId="0" applyFont="1" applyFill="1" applyBorder="1" applyAlignment="1" applyProtection="1">
      <alignment horizontal="center" vertical="center" wrapText="1"/>
      <protection hidden="1"/>
    </xf>
    <xf numFmtId="0" fontId="11" fillId="0" borderId="1" xfId="0" applyFont="1" applyBorder="1" applyAlignment="1" applyProtection="1">
      <alignment vertical="top" wrapText="1"/>
      <protection hidden="1"/>
    </xf>
    <xf numFmtId="0" fontId="12" fillId="6" borderId="5" xfId="0" applyFont="1" applyFill="1" applyBorder="1" applyAlignment="1" applyProtection="1">
      <alignment horizontal="center"/>
      <protection hidden="1"/>
    </xf>
    <xf numFmtId="0" fontId="12" fillId="6" borderId="6" xfId="0" applyFont="1" applyFill="1" applyBorder="1" applyAlignment="1" applyProtection="1">
      <alignment horizontal="center"/>
      <protection hidden="1"/>
    </xf>
    <xf numFmtId="0" fontId="13" fillId="3" borderId="8" xfId="0" applyFont="1" applyFill="1" applyBorder="1" applyAlignment="1" applyProtection="1">
      <alignment horizontal="center" vertical="center" wrapText="1"/>
      <protection hidden="1"/>
    </xf>
    <xf numFmtId="0" fontId="13" fillId="3" borderId="9" xfId="0" applyFont="1" applyFill="1" applyBorder="1" applyAlignment="1" applyProtection="1">
      <alignment horizontal="center" vertical="center" wrapText="1"/>
      <protection hidden="1"/>
    </xf>
    <xf numFmtId="0" fontId="13" fillId="3" borderId="10" xfId="0" applyFont="1" applyFill="1" applyBorder="1" applyAlignment="1" applyProtection="1">
      <alignment horizontal="center" vertical="center" wrapText="1"/>
      <protection hidden="1"/>
    </xf>
    <xf numFmtId="0" fontId="13" fillId="3" borderId="11" xfId="0" applyFont="1" applyFill="1" applyBorder="1" applyAlignment="1" applyProtection="1">
      <alignment horizontal="center" vertical="center" wrapText="1"/>
      <protection hidden="1"/>
    </xf>
    <xf numFmtId="0" fontId="13" fillId="3" borderId="12" xfId="0" applyFont="1" applyFill="1" applyBorder="1" applyAlignment="1" applyProtection="1">
      <alignment horizontal="center" vertical="center" wrapText="1"/>
      <protection hidden="1"/>
    </xf>
    <xf numFmtId="0" fontId="13" fillId="3" borderId="13" xfId="0" applyFont="1" applyFill="1" applyBorder="1" applyAlignment="1" applyProtection="1">
      <alignment horizontal="center" vertical="center" wrapText="1"/>
      <protection hidden="1"/>
    </xf>
    <xf numFmtId="165" fontId="7" fillId="0" borderId="5" xfId="0" applyNumberFormat="1" applyFont="1" applyBorder="1" applyAlignment="1" applyProtection="1">
      <alignment horizontal="left" vertical="top" wrapText="1"/>
      <protection locked="0"/>
    </xf>
    <xf numFmtId="165" fontId="7" fillId="0" borderId="6" xfId="0" applyNumberFormat="1" applyFont="1" applyBorder="1" applyAlignment="1" applyProtection="1">
      <alignment horizontal="left" vertical="top" wrapText="1"/>
      <protection locked="0"/>
    </xf>
    <xf numFmtId="165" fontId="7" fillId="0" borderId="7" xfId="0" applyNumberFormat="1" applyFont="1" applyBorder="1" applyAlignment="1" applyProtection="1">
      <alignment horizontal="left" vertical="top" wrapText="1"/>
      <protection locked="0"/>
    </xf>
    <xf numFmtId="0" fontId="0" fillId="0" borderId="0" xfId="0" applyAlignment="1" applyProtection="1">
      <alignment vertical="center" wrapText="1"/>
      <protection hidden="1"/>
    </xf>
  </cellXfs>
  <cellStyles count="2">
    <cellStyle name="Normal" xfId="0" builtinId="0"/>
    <cellStyle name="Normal 3" xfId="1" xr:uid="{00000000-0005-0000-0000-000001000000}"/>
  </cellStyles>
  <dxfs count="71">
    <dxf>
      <font>
        <b/>
        <i val="0"/>
        <strike val="0"/>
        <condense val="0"/>
        <extend val="0"/>
        <outline val="0"/>
        <shadow val="0"/>
        <u val="none"/>
        <vertAlign val="baseline"/>
        <sz val="11"/>
        <color theme="0"/>
        <name val="Calibri"/>
        <scheme val="minor"/>
      </font>
      <fill>
        <patternFill patternType="solid">
          <fgColor indexed="64"/>
          <bgColor rgb="FF00206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scheme val="minor"/>
      </font>
      <numFmt numFmtId="165" formatCode="#,##0.00_ ;[Red]\-#,##0.00\ "/>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scheme val="minor"/>
      </font>
      <alignment horizontal="center" vertical="bottom" textRotation="0" wrapText="0" indent="0" justifyLastLine="0" shrinkToFit="0" readingOrder="0"/>
      <protection locked="1" hidden="1"/>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2060"/>
        </patternFill>
      </fill>
      <alignment horizontal="center" vertical="bottom" textRotation="0" wrapText="0" indent="0" justifyLastLine="0" shrinkToFit="0" readingOrder="0"/>
    </dxf>
    <dxf>
      <alignment horizontal="center" vertical="bottom" textRotation="0" wrapText="0" indent="0" justifyLastLine="0" shrinkToFit="0" readingOrder="0"/>
      <protection locked="1" hidden="1"/>
    </dxf>
    <dxf>
      <alignment horizontal="center" vertical="bottom" textRotation="0" wrapText="0" indent="0" justifyLastLine="0" shrinkToFit="0" readingOrder="0"/>
      <protection locked="1" hidden="1"/>
    </dxf>
    <dxf>
      <font>
        <b/>
        <i val="0"/>
        <strike val="0"/>
        <condense val="0"/>
        <extend val="0"/>
        <outline val="0"/>
        <shadow val="0"/>
        <u val="none"/>
        <vertAlign val="baseline"/>
        <sz val="11"/>
        <color theme="0"/>
        <name val="Calibri"/>
        <scheme val="minor"/>
      </font>
      <alignment horizontal="center" vertical="center" textRotation="0" wrapText="0" indent="0" justifyLastLine="0" shrinkToFit="0" readingOrder="0"/>
      <protection locked="1" hidden="1"/>
    </dxf>
    <dxf>
      <numFmt numFmtId="13" formatCode="0%"/>
      <alignment horizontal="center" vertical="bottom" textRotation="0" wrapText="0" indent="0" justifyLastLine="0" shrinkToFit="0" readingOrder="0"/>
      <border diagonalUp="0" diagonalDown="0" outline="0">
        <left style="thin">
          <color indexed="64"/>
        </left>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numFmt numFmtId="13" formatCode="0%"/>
      <alignment horizontal="center" vertical="bottom" textRotation="0" wrapText="0" indent="0" justifyLastLine="0" shrinkToFit="0" readingOrder="0"/>
      <border diagonalUp="0" diagonalDown="0" outline="0">
        <left style="thin">
          <color auto="1"/>
        </left>
        <right style="thin">
          <color indexed="64"/>
        </right>
        <top/>
        <bottom/>
      </border>
      <protection locked="1" hidden="1"/>
    </dxf>
    <dxf>
      <font>
        <b/>
        <i val="0"/>
        <strike val="0"/>
        <condense val="0"/>
        <extend val="0"/>
        <outline val="0"/>
        <shadow val="0"/>
        <u val="none"/>
        <vertAlign val="baseline"/>
        <sz val="9"/>
        <color theme="1"/>
        <name val="Calibri"/>
        <scheme val="minor"/>
      </font>
      <fill>
        <patternFill patternType="solid">
          <fgColor indexed="64"/>
          <bgColor rgb="FF00B0F0"/>
        </patternFill>
      </fill>
      <alignment horizontal="general" vertical="center" textRotation="0" wrapText="1" indent="0" justifyLastLine="0" shrinkToFit="0" readingOrder="0"/>
      <border diagonalUp="0" diagonalDown="0" outline="0">
        <left/>
        <right style="thin">
          <color indexed="64"/>
        </right>
        <top/>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protection locked="1" hidden="1"/>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2060"/>
        </patternFill>
      </fill>
      <alignment horizontal="center" vertical="bottom" textRotation="0" wrapText="0" indent="0" justifyLastLine="0" shrinkToFit="0" readingOrder="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style="thin">
          <color auto="1"/>
        </left>
        <right style="thin">
          <color auto="1"/>
        </right>
        <top/>
        <bottom/>
        <vertical style="thin">
          <color auto="1"/>
        </vertical>
        <horizontal/>
      </border>
      <protection locked="1" hidden="1"/>
    </dxf>
    <dxf>
      <numFmt numFmtId="13" formatCode="0%"/>
      <border diagonalUp="0" diagonalDown="0">
        <left/>
        <right style="thin">
          <color auto="1"/>
        </right>
        <top/>
        <bottom/>
        <vertical style="thin">
          <color auto="1"/>
        </vertical>
        <horizontal/>
      </border>
      <protection locked="1" hidden="1"/>
    </dxf>
    <dxf>
      <border outline="0">
        <left style="medium">
          <color indexed="64"/>
        </left>
        <right style="thin">
          <color indexed="64"/>
        </right>
        <top style="thin">
          <color indexed="64"/>
        </top>
      </border>
    </dxf>
    <dxf>
      <protection locked="1" hidden="1"/>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2060"/>
        </patternFill>
      </fill>
      <alignment horizontal="center" vertical="bottom" textRotation="0" wrapText="0" indent="0" justifyLastLine="0" shrinkToFit="0" readingOrder="0"/>
      <border diagonalUp="0" diagonalDown="0">
        <left style="thin">
          <color auto="1"/>
        </left>
        <right style="thin">
          <color auto="1"/>
        </right>
        <top/>
        <bottom/>
        <vertical style="thin">
          <color auto="1"/>
        </vertical>
        <horizontal/>
      </border>
      <protection locked="1" hidden="1"/>
    </dxf>
    <dxf>
      <alignment horizontal="center" vertical="bottom" textRotation="0" indent="0" justifyLastLine="0" shrinkToFit="0" readingOrder="0"/>
      <protection locked="1" hidden="1"/>
    </dxf>
    <dxf>
      <protection locked="1" hidden="1"/>
    </dxf>
    <dxf>
      <protection locked="1" hidden="1"/>
    </dxf>
    <dxf>
      <font>
        <b/>
        <i val="0"/>
        <strike val="0"/>
        <condense val="0"/>
        <extend val="0"/>
        <outline val="0"/>
        <shadow val="0"/>
        <u val="none"/>
        <vertAlign val="baseline"/>
        <sz val="12"/>
        <color theme="0"/>
        <name val="Calibri"/>
        <scheme val="minor"/>
      </font>
      <alignment horizontal="center" vertical="center" textRotation="0" wrapText="0" indent="0" justifyLastLine="0" shrinkToFit="0" readingOrder="0"/>
      <protection locked="1" hidden="1"/>
    </dxf>
    <dxf>
      <font>
        <color rgb="FF006100"/>
      </font>
      <fill>
        <patternFill>
          <bgColor rgb="FFC6EFCE"/>
        </patternFill>
      </fill>
    </dxf>
    <dxf>
      <font>
        <b/>
        <i val="0"/>
        <color rgb="FFFF0000"/>
      </font>
    </dxf>
    <dxf>
      <font>
        <color rgb="FF006100"/>
      </font>
      <fill>
        <patternFill>
          <bgColor rgb="FFC6EFCE"/>
        </patternFill>
      </fill>
    </dxf>
    <dxf>
      <font>
        <color rgb="FF006100"/>
      </font>
      <fill>
        <patternFill>
          <bgColor rgb="FFC6EFCE"/>
        </patternFill>
      </fill>
    </dxf>
    <dxf>
      <font>
        <b/>
        <i val="0"/>
        <color rgb="FFFF0000"/>
      </font>
    </dxf>
    <dxf>
      <font>
        <color rgb="FF006100"/>
      </font>
      <fill>
        <patternFill>
          <bgColor rgb="FFC6EFCE"/>
        </patternFill>
      </fill>
    </dxf>
  </dxfs>
  <tableStyles count="0" defaultTableStyle="TableStyleMedium9" defaultPivotStyle="PivotStyleLight16"/>
  <colors>
    <mruColors>
      <color rgb="FFCC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W:\HR@Vistaar\2017%20Appraisals\Appraisal%20Form%20-%20General.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vistaarin-my.sharepoint.com/Manjima/Vistaar/PRM/Jan%202014/Dev/Dev%20Appraisal%20Template%20v4_withoutPasswo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gend"/>
      <sheetName val="Main Sheet"/>
      <sheetName val="Addendum"/>
      <sheetName val="Guidance Sheet"/>
    </sheetNames>
    <sheetDataSet>
      <sheetData sheetId="0">
        <row r="8">
          <cell r="A8" t="str">
            <v>NA</v>
          </cell>
        </row>
        <row r="9">
          <cell r="A9" t="str">
            <v>BE</v>
          </cell>
        </row>
        <row r="10">
          <cell r="A10" t="str">
            <v>ME</v>
          </cell>
        </row>
        <row r="11">
          <cell r="A11" t="str">
            <v>EE</v>
          </cell>
        </row>
        <row r="12">
          <cell r="A12" t="str">
            <v>FE</v>
          </cell>
        </row>
      </sheetData>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Competency Assessment"/>
      <sheetName val="Competencies"/>
      <sheetName val="Guidance Sheet"/>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tingScore" displayName="RatingScore" ref="D12:E17" totalsRowShown="0" headerRowDxfId="64" dataDxfId="63">
  <autoFilter ref="D12:E17" xr:uid="{00000000-0009-0000-0100-000001000000}"/>
  <tableColumns count="2">
    <tableColumn id="1" xr3:uid="{00000000-0010-0000-0000-000001000000}" name="Rating" dataDxfId="62"/>
    <tableColumn id="2" xr3:uid="{00000000-0010-0000-0000-000002000000}" name="Score" dataDxfId="61"/>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ompetencyMapping" displayName="CompetencyMapping" ref="B46:O57" totalsRowShown="0" headerRowDxfId="60" dataDxfId="58" headerRowBorderDxfId="59" tableBorderDxfId="57">
  <autoFilter ref="B46:O57" xr:uid="{00000000-0009-0000-0100-000002000000}"/>
  <tableColumns count="14">
    <tableColumn id="1" xr3:uid="{00000000-0010-0000-0100-000001000000}" name="Trainee" dataDxfId="56"/>
    <tableColumn id="9" xr3:uid="{00000000-0010-0000-0100-000009000000}" name="Trainee - QC" dataDxfId="55"/>
    <tableColumn id="2" xr3:uid="{00000000-0010-0000-0100-000002000000}" name="SE" dataDxfId="54"/>
    <tableColumn id="10" xr3:uid="{00000000-0010-0000-0100-00000A000000}" name="SE - QC" dataDxfId="53"/>
    <tableColumn id="3" xr3:uid="{00000000-0010-0000-0100-000003000000}" name="SSE" dataDxfId="52"/>
    <tableColumn id="11" xr3:uid="{00000000-0010-0000-0100-00000B000000}" name="SSE - QC" dataDxfId="51"/>
    <tableColumn id="13" xr3:uid="{00000000-0010-0000-0100-00000D000000}" name="Sr. Tech. Writer" dataDxfId="50"/>
    <tableColumn id="6" xr3:uid="{00000000-0010-0000-0100-000006000000}" name="TL" dataDxfId="49"/>
    <tableColumn id="14" xr3:uid="{00000000-0010-0000-0100-00000E000000}" name="TL - QC" dataDxfId="48"/>
    <tableColumn id="8" xr3:uid="{00000000-0010-0000-0100-000008000000}" name="AA" dataDxfId="47"/>
    <tableColumn id="12" xr3:uid="{00000000-0010-0000-0100-00000C000000}" name="AM - QC" dataDxfId="46"/>
    <tableColumn id="7" xr3:uid="{00000000-0010-0000-0100-000007000000}" name="TA" dataDxfId="45"/>
    <tableColumn id="4" xr3:uid="{00000000-0010-0000-0100-000004000000}" name="Manager" dataDxfId="44"/>
    <tableColumn id="5" xr3:uid="{00000000-0010-0000-0100-000005000000}" name="Sr. Manager" dataDxfId="4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CompentencyWeightage" displayName="CompentencyWeightage" ref="A20:O34" totalsRowShown="0" headerRowDxfId="42" dataDxfId="40" headerRowBorderDxfId="41" tableBorderDxfId="39" totalsRowBorderDxfId="38">
  <autoFilter ref="A20:O34" xr:uid="{00000000-0009-0000-0100-000004000000}"/>
  <tableColumns count="15">
    <tableColumn id="1" xr3:uid="{00000000-0010-0000-0200-000001000000}" name="Competency" dataDxfId="37"/>
    <tableColumn id="2" xr3:uid="{00000000-0010-0000-0200-000002000000}" name="Trainee" dataDxfId="36"/>
    <tableColumn id="10" xr3:uid="{00000000-0010-0000-0200-00000A000000}" name="Trainee - QC" dataDxfId="35"/>
    <tableColumn id="3" xr3:uid="{00000000-0010-0000-0200-000003000000}" name="SE" dataDxfId="34"/>
    <tableColumn id="11" xr3:uid="{00000000-0010-0000-0200-00000B000000}" name="SE - QC" dataDxfId="33"/>
    <tableColumn id="4" xr3:uid="{00000000-0010-0000-0200-000004000000}" name="SSE" dataDxfId="32"/>
    <tableColumn id="12" xr3:uid="{00000000-0010-0000-0200-00000C000000}" name="SSE - QC" dataDxfId="31"/>
    <tableColumn id="15" xr3:uid="{00000000-0010-0000-0200-00000F000000}" name="Sr. Tech. Writer" dataDxfId="30"/>
    <tableColumn id="8" xr3:uid="{00000000-0010-0000-0200-000008000000}" name="TL" dataDxfId="29"/>
    <tableColumn id="13" xr3:uid="{00000000-0010-0000-0200-00000D000000}" name="TL - QC" dataDxfId="28"/>
    <tableColumn id="9" xr3:uid="{00000000-0010-0000-0200-000009000000}" name="AA" dataDxfId="27"/>
    <tableColumn id="14" xr3:uid="{00000000-0010-0000-0200-00000E000000}" name="AM - QC" dataDxfId="26"/>
    <tableColumn id="7" xr3:uid="{00000000-0010-0000-0200-000007000000}" name="TA" dataDxfId="25"/>
    <tableColumn id="5" xr3:uid="{00000000-0010-0000-0200-000005000000}" name="Manager" dataDxfId="24"/>
    <tableColumn id="6" xr3:uid="{00000000-0010-0000-0200-000006000000}" name="Sr. Manager" dataDxfId="2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eams" displayName="Teams" ref="G8:G16" totalsRowShown="0" headerRowDxfId="22" dataDxfId="21">
  <autoFilter ref="G8:G16" xr:uid="{00000000-0009-0000-0100-000003000000}"/>
  <tableColumns count="1">
    <tableColumn id="1" xr3:uid="{00000000-0010-0000-0300-000001000000}" name="Teams" dataDxfId="2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ScoreRatingMapping" displayName="ScoreRatingMapping" ref="B38:P42" totalsRowShown="0" headerRowDxfId="19" dataDxfId="17" headerRowBorderDxfId="18" tableBorderDxfId="16" totalsRowBorderDxfId="15">
  <tableColumns count="15">
    <tableColumn id="1" xr3:uid="{00000000-0010-0000-0400-000001000000}" name="Trainee" dataDxfId="14"/>
    <tableColumn id="2" xr3:uid="{00000000-0010-0000-0400-000002000000}" name="Trainee - QC" dataDxfId="13"/>
    <tableColumn id="3" xr3:uid="{00000000-0010-0000-0400-000003000000}" name="SE" dataDxfId="12"/>
    <tableColumn id="4" xr3:uid="{00000000-0010-0000-0400-000004000000}" name="SE - QC" dataDxfId="11"/>
    <tableColumn id="5" xr3:uid="{00000000-0010-0000-0400-000005000000}" name="SSE" dataDxfId="10"/>
    <tableColumn id="6" xr3:uid="{00000000-0010-0000-0400-000006000000}" name="SSE - QC" dataDxfId="9"/>
    <tableColumn id="7" xr3:uid="{00000000-0010-0000-0400-000007000000}" name="Sr. Tech. Writer" dataDxfId="8"/>
    <tableColumn id="8" xr3:uid="{00000000-0010-0000-0400-000008000000}" name="TL" dataDxfId="7"/>
    <tableColumn id="9" xr3:uid="{00000000-0010-0000-0400-000009000000}" name="TL - QC" dataDxfId="6"/>
    <tableColumn id="10" xr3:uid="{00000000-0010-0000-0400-00000A000000}" name="AA" dataDxfId="5"/>
    <tableColumn id="11" xr3:uid="{00000000-0010-0000-0400-00000B000000}" name="AM - QC" dataDxfId="4"/>
    <tableColumn id="12" xr3:uid="{00000000-0010-0000-0400-00000C000000}" name="TA" dataDxfId="3"/>
    <tableColumn id="13" xr3:uid="{00000000-0010-0000-0400-00000D000000}" name="Manager" dataDxfId="2"/>
    <tableColumn id="14" xr3:uid="{00000000-0010-0000-0400-00000E000000}" name="Sr. Manager" dataDxfId="1"/>
    <tableColumn id="15" xr3:uid="{00000000-0010-0000-0400-00000F000000}" name="Rating"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R36"/>
  <sheetViews>
    <sheetView showGridLines="0" tabSelected="1" zoomScaleNormal="100" workbookViewId="0">
      <pane xSplit="14" ySplit="7" topLeftCell="O23" activePane="bottomRight" state="frozen"/>
      <selection pane="topRight" activeCell="O1" sqref="O1"/>
      <selection pane="bottomLeft" activeCell="A8" sqref="A8"/>
      <selection pane="bottomRight" activeCell="B28" sqref="B28:N31"/>
    </sheetView>
  </sheetViews>
  <sheetFormatPr defaultColWidth="0" defaultRowHeight="14.4" zeroHeight="1" x14ac:dyDescent="0.3"/>
  <cols>
    <col min="1" max="1" width="2" style="16" customWidth="1"/>
    <col min="2" max="2" width="4.109375" style="16" customWidth="1"/>
    <col min="3" max="6" width="12.109375" style="16" customWidth="1"/>
    <col min="7" max="8" width="22" style="16" customWidth="1"/>
    <col min="9" max="9" width="3.109375" style="16" customWidth="1"/>
    <col min="10" max="10" width="4.88671875" style="16" customWidth="1"/>
    <col min="11" max="14" width="12.88671875" style="16" customWidth="1"/>
    <col min="15" max="15" width="2" style="16" customWidth="1"/>
    <col min="16" max="18" width="0" style="16" hidden="1" customWidth="1"/>
    <col min="19" max="16384" width="9.109375" style="16" hidden="1"/>
  </cols>
  <sheetData>
    <row r="1" spans="1:18" ht="9" customHeight="1" x14ac:dyDescent="0.35">
      <c r="A1" s="18"/>
      <c r="B1" s="18"/>
      <c r="C1" s="18"/>
      <c r="D1" s="18"/>
      <c r="E1" s="18"/>
      <c r="F1" s="18"/>
      <c r="G1" s="18"/>
      <c r="H1" s="18"/>
      <c r="I1" s="18"/>
      <c r="J1" s="18"/>
      <c r="K1" s="18"/>
      <c r="L1" s="18"/>
      <c r="M1" s="18"/>
      <c r="N1" s="18"/>
      <c r="O1" s="18"/>
    </row>
    <row r="2" spans="1:18" ht="18" x14ac:dyDescent="0.35">
      <c r="A2" s="18"/>
      <c r="B2" s="83" t="s">
        <v>110</v>
      </c>
      <c r="C2" s="83"/>
      <c r="D2" s="83"/>
      <c r="E2" s="83"/>
      <c r="F2" s="83"/>
      <c r="G2" s="83"/>
      <c r="H2" s="83"/>
      <c r="I2" s="83"/>
      <c r="J2" s="83"/>
      <c r="K2" s="83"/>
      <c r="L2" s="83"/>
      <c r="M2" s="83"/>
      <c r="N2" s="83"/>
      <c r="O2" s="18"/>
    </row>
    <row r="3" spans="1:18" ht="14.25" customHeight="1" x14ac:dyDescent="0.35">
      <c r="A3" s="18"/>
      <c r="B3" s="84" t="s">
        <v>0</v>
      </c>
      <c r="C3" s="84"/>
      <c r="D3" s="85" t="s">
        <v>175</v>
      </c>
      <c r="E3" s="85"/>
      <c r="F3" s="85"/>
      <c r="G3" s="85"/>
      <c r="H3" s="19" t="s">
        <v>1</v>
      </c>
      <c r="I3" s="86" t="s">
        <v>176</v>
      </c>
      <c r="J3" s="86"/>
      <c r="K3" s="86"/>
      <c r="L3" s="86"/>
      <c r="M3" s="86"/>
      <c r="N3" s="86"/>
      <c r="O3" s="18"/>
    </row>
    <row r="4" spans="1:18" ht="14.25" customHeight="1" x14ac:dyDescent="0.35">
      <c r="A4" s="18"/>
      <c r="B4" s="84" t="s">
        <v>2</v>
      </c>
      <c r="C4" s="84"/>
      <c r="D4" s="85" t="s">
        <v>182</v>
      </c>
      <c r="E4" s="85"/>
      <c r="F4" s="85"/>
      <c r="G4" s="85"/>
      <c r="H4" s="19" t="s">
        <v>3</v>
      </c>
      <c r="I4" s="86" t="s">
        <v>96</v>
      </c>
      <c r="J4" s="86"/>
      <c r="K4" s="86"/>
      <c r="L4" s="86"/>
      <c r="M4" s="86"/>
      <c r="N4" s="86"/>
      <c r="O4" s="18"/>
    </row>
    <row r="5" spans="1:18" ht="14.25" customHeight="1" x14ac:dyDescent="0.35">
      <c r="A5" s="18"/>
      <c r="B5" s="84" t="s">
        <v>4</v>
      </c>
      <c r="C5" s="84"/>
      <c r="D5" s="75" t="s">
        <v>27</v>
      </c>
      <c r="E5" s="92">
        <v>45078</v>
      </c>
      <c r="F5" s="93"/>
      <c r="G5" s="94"/>
      <c r="H5" s="19" t="s">
        <v>26</v>
      </c>
      <c r="I5" s="92">
        <v>45443</v>
      </c>
      <c r="J5" s="93"/>
      <c r="K5" s="93"/>
      <c r="L5" s="93"/>
      <c r="M5" s="93"/>
      <c r="N5" s="94"/>
      <c r="O5" s="18"/>
    </row>
    <row r="6" spans="1:18" ht="14.25" customHeight="1" x14ac:dyDescent="0.35">
      <c r="A6" s="18"/>
      <c r="B6" s="84" t="s">
        <v>65</v>
      </c>
      <c r="C6" s="84"/>
      <c r="D6" s="30" t="s">
        <v>41</v>
      </c>
      <c r="E6" s="84" t="s">
        <v>5</v>
      </c>
      <c r="F6" s="84"/>
      <c r="G6" s="85" t="s">
        <v>178</v>
      </c>
      <c r="H6" s="85"/>
      <c r="I6" s="85"/>
      <c r="J6" s="90" t="s">
        <v>159</v>
      </c>
      <c r="K6" s="91"/>
      <c r="L6" s="85" t="s">
        <v>178</v>
      </c>
      <c r="M6" s="85"/>
      <c r="N6" s="85"/>
      <c r="O6" s="18"/>
    </row>
    <row r="7" spans="1:18" ht="9" customHeight="1" x14ac:dyDescent="0.35">
      <c r="A7" s="18"/>
      <c r="B7" s="18"/>
      <c r="C7" s="18"/>
      <c r="D7" s="18"/>
      <c r="E7" s="18"/>
      <c r="F7" s="18"/>
      <c r="G7" s="18"/>
      <c r="H7" s="18"/>
      <c r="I7" s="18"/>
      <c r="J7" s="18"/>
      <c r="K7" s="18"/>
      <c r="L7" s="18"/>
      <c r="M7" s="18"/>
      <c r="N7" s="18"/>
      <c r="O7" s="18"/>
    </row>
    <row r="8" spans="1:18" ht="18" x14ac:dyDescent="0.35">
      <c r="A8" s="20"/>
      <c r="B8" s="88" t="s">
        <v>22</v>
      </c>
      <c r="C8" s="88"/>
      <c r="D8" s="88"/>
      <c r="E8" s="88"/>
      <c r="F8" s="88"/>
      <c r="G8" s="88"/>
      <c r="H8" s="88"/>
      <c r="I8" s="20"/>
      <c r="J8" s="88" t="s">
        <v>25</v>
      </c>
      <c r="K8" s="88"/>
      <c r="L8" s="88"/>
      <c r="M8" s="88"/>
      <c r="N8" s="88"/>
      <c r="O8" s="18"/>
      <c r="P8" s="21"/>
      <c r="Q8" s="21"/>
      <c r="R8" s="21"/>
    </row>
    <row r="9" spans="1:18" ht="52.8" customHeight="1" x14ac:dyDescent="0.3">
      <c r="A9" s="20"/>
      <c r="B9" s="22" t="s">
        <v>23</v>
      </c>
      <c r="C9" s="89" t="s">
        <v>24</v>
      </c>
      <c r="D9" s="89"/>
      <c r="E9" s="89"/>
      <c r="F9" s="89"/>
      <c r="G9" s="89" t="s">
        <v>68</v>
      </c>
      <c r="H9" s="89"/>
      <c r="I9" s="23"/>
      <c r="J9" s="22" t="s">
        <v>23</v>
      </c>
      <c r="K9" s="89" t="s">
        <v>24</v>
      </c>
      <c r="L9" s="89"/>
      <c r="M9" s="89"/>
      <c r="N9" s="89"/>
      <c r="O9" s="20"/>
    </row>
    <row r="10" spans="1:18" ht="22.2" customHeight="1" x14ac:dyDescent="0.3">
      <c r="A10" s="20"/>
      <c r="B10" s="24">
        <v>1</v>
      </c>
      <c r="C10" s="87" t="s">
        <v>188</v>
      </c>
      <c r="D10" s="87"/>
      <c r="E10" s="87"/>
      <c r="F10" s="87"/>
      <c r="G10" s="87" t="s">
        <v>185</v>
      </c>
      <c r="H10" s="87"/>
      <c r="I10" s="23"/>
      <c r="J10" s="24">
        <v>1</v>
      </c>
      <c r="K10" s="87" t="s">
        <v>199</v>
      </c>
      <c r="L10" s="87"/>
      <c r="M10" s="87"/>
      <c r="N10" s="87"/>
      <c r="O10" s="20"/>
    </row>
    <row r="11" spans="1:18" x14ac:dyDescent="0.3">
      <c r="A11" s="20"/>
      <c r="B11" s="24">
        <v>2</v>
      </c>
      <c r="C11" s="87" t="s">
        <v>183</v>
      </c>
      <c r="D11" s="87"/>
      <c r="E11" s="87"/>
      <c r="F11" s="87"/>
      <c r="G11" s="87" t="s">
        <v>184</v>
      </c>
      <c r="H11" s="87"/>
      <c r="I11" s="23"/>
      <c r="J11" s="24">
        <v>2</v>
      </c>
      <c r="K11" s="87" t="s">
        <v>200</v>
      </c>
      <c r="L11" s="87"/>
      <c r="M11" s="87"/>
      <c r="N11" s="87"/>
      <c r="O11" s="20"/>
    </row>
    <row r="12" spans="1:18" x14ac:dyDescent="0.3">
      <c r="A12" s="20"/>
      <c r="B12" s="24">
        <v>3</v>
      </c>
      <c r="C12" s="87" t="s">
        <v>186</v>
      </c>
      <c r="D12" s="87"/>
      <c r="E12" s="87"/>
      <c r="F12" s="87"/>
      <c r="G12" s="87" t="s">
        <v>187</v>
      </c>
      <c r="H12" s="87"/>
      <c r="I12" s="23"/>
      <c r="J12" s="24">
        <v>3</v>
      </c>
      <c r="K12" s="87" t="s">
        <v>201</v>
      </c>
      <c r="L12" s="87"/>
      <c r="M12" s="87"/>
      <c r="N12" s="87"/>
      <c r="O12" s="20"/>
    </row>
    <row r="13" spans="1:18" x14ac:dyDescent="0.3">
      <c r="A13" s="20"/>
      <c r="B13" s="24"/>
      <c r="C13" s="87"/>
      <c r="D13" s="87"/>
      <c r="E13" s="87"/>
      <c r="F13" s="87"/>
      <c r="G13" s="87"/>
      <c r="H13" s="87"/>
      <c r="I13" s="23"/>
      <c r="J13" s="24">
        <v>4</v>
      </c>
      <c r="K13" s="87" t="s">
        <v>202</v>
      </c>
      <c r="L13" s="87"/>
      <c r="M13" s="87"/>
      <c r="N13" s="87"/>
      <c r="O13" s="20"/>
    </row>
    <row r="14" spans="1:18" x14ac:dyDescent="0.3">
      <c r="A14" s="20"/>
      <c r="B14" s="24"/>
      <c r="C14" s="87"/>
      <c r="D14" s="87"/>
      <c r="E14" s="87"/>
      <c r="F14" s="87"/>
      <c r="G14" s="87"/>
      <c r="H14" s="87"/>
      <c r="I14" s="23"/>
      <c r="J14" s="24">
        <v>5</v>
      </c>
      <c r="K14" s="87" t="s">
        <v>204</v>
      </c>
      <c r="L14" s="87"/>
      <c r="M14" s="87"/>
      <c r="N14" s="87"/>
      <c r="O14" s="20"/>
    </row>
    <row r="15" spans="1:18" x14ac:dyDescent="0.3">
      <c r="A15" s="20"/>
      <c r="B15" s="24"/>
      <c r="C15" s="87"/>
      <c r="D15" s="87"/>
      <c r="E15" s="87"/>
      <c r="F15" s="87"/>
      <c r="G15" s="87"/>
      <c r="H15" s="87"/>
      <c r="I15" s="23"/>
      <c r="J15" s="24"/>
      <c r="K15" s="87"/>
      <c r="L15" s="87"/>
      <c r="M15" s="87"/>
      <c r="N15" s="87"/>
      <c r="O15" s="20"/>
    </row>
    <row r="16" spans="1:18" x14ac:dyDescent="0.3">
      <c r="A16" s="20"/>
      <c r="B16" s="24"/>
      <c r="C16" s="95"/>
      <c r="D16" s="95"/>
      <c r="E16" s="95"/>
      <c r="F16" s="95"/>
      <c r="G16" s="87"/>
      <c r="H16" s="87"/>
      <c r="I16" s="23"/>
      <c r="J16" s="24"/>
      <c r="K16" s="87"/>
      <c r="L16" s="87"/>
      <c r="M16" s="87"/>
      <c r="N16" s="87"/>
      <c r="O16" s="20"/>
    </row>
    <row r="17" spans="1:15" x14ac:dyDescent="0.3">
      <c r="A17" s="20"/>
      <c r="B17" s="24"/>
      <c r="C17" s="87"/>
      <c r="D17" s="87"/>
      <c r="E17" s="87"/>
      <c r="F17" s="87"/>
      <c r="G17" s="87"/>
      <c r="H17" s="87"/>
      <c r="I17" s="23"/>
      <c r="J17" s="24"/>
      <c r="K17" s="87"/>
      <c r="L17" s="87"/>
      <c r="M17" s="87"/>
      <c r="N17" s="87"/>
      <c r="O17" s="20"/>
    </row>
    <row r="18" spans="1:15" x14ac:dyDescent="0.3">
      <c r="A18" s="20"/>
      <c r="B18" s="24"/>
      <c r="C18" s="87"/>
      <c r="D18" s="87"/>
      <c r="E18" s="87"/>
      <c r="F18" s="87"/>
      <c r="G18" s="87"/>
      <c r="H18" s="87"/>
      <c r="I18" s="23"/>
      <c r="J18" s="24"/>
      <c r="K18" s="87"/>
      <c r="L18" s="87"/>
      <c r="M18" s="87"/>
      <c r="N18" s="87"/>
      <c r="O18" s="20"/>
    </row>
    <row r="19" spans="1:15" x14ac:dyDescent="0.3">
      <c r="A19" s="20"/>
      <c r="B19" s="99"/>
      <c r="C19" s="99"/>
      <c r="D19" s="99"/>
      <c r="E19" s="99"/>
      <c r="F19" s="99"/>
      <c r="G19" s="99"/>
      <c r="H19" s="99"/>
      <c r="I19" s="20"/>
      <c r="J19" s="100"/>
      <c r="K19" s="100"/>
      <c r="L19" s="100"/>
      <c r="M19" s="100"/>
      <c r="N19" s="100"/>
      <c r="O19" s="20"/>
    </row>
    <row r="20" spans="1:15" x14ac:dyDescent="0.3">
      <c r="A20" s="20"/>
      <c r="B20" s="20"/>
      <c r="C20" s="20"/>
      <c r="D20" s="20"/>
      <c r="E20" s="20"/>
      <c r="F20" s="20"/>
      <c r="G20" s="20"/>
      <c r="H20" s="20"/>
      <c r="I20" s="20"/>
      <c r="J20" s="20"/>
      <c r="K20" s="20"/>
      <c r="L20" s="20"/>
      <c r="M20" s="20"/>
      <c r="N20" s="20"/>
      <c r="O20" s="20"/>
    </row>
    <row r="21" spans="1:15" x14ac:dyDescent="0.3">
      <c r="B21" s="101" t="s">
        <v>158</v>
      </c>
      <c r="C21" s="101"/>
      <c r="D21" s="101"/>
      <c r="E21" s="101"/>
      <c r="F21" s="101"/>
      <c r="G21" s="101"/>
      <c r="H21" s="101"/>
      <c r="I21" s="101"/>
      <c r="J21" s="101"/>
      <c r="K21" s="101"/>
      <c r="L21" s="101"/>
      <c r="M21" s="101"/>
      <c r="N21" s="101"/>
      <c r="O21" s="20"/>
    </row>
    <row r="22" spans="1:15" x14ac:dyDescent="0.3">
      <c r="A22" s="20"/>
      <c r="B22" s="102" t="s">
        <v>205</v>
      </c>
      <c r="C22" s="102"/>
      <c r="D22" s="102"/>
      <c r="E22" s="102"/>
      <c r="F22" s="102"/>
      <c r="G22" s="102"/>
      <c r="H22" s="102"/>
      <c r="I22" s="102"/>
      <c r="J22" s="102"/>
      <c r="K22" s="102"/>
      <c r="L22" s="102"/>
      <c r="M22" s="102"/>
      <c r="N22" s="102"/>
      <c r="O22" s="20"/>
    </row>
    <row r="23" spans="1:15" x14ac:dyDescent="0.3">
      <c r="A23" s="20"/>
      <c r="B23" s="102"/>
      <c r="C23" s="102"/>
      <c r="D23" s="102"/>
      <c r="E23" s="102"/>
      <c r="F23" s="102"/>
      <c r="G23" s="102"/>
      <c r="H23" s="102"/>
      <c r="I23" s="102"/>
      <c r="J23" s="102"/>
      <c r="K23" s="102"/>
      <c r="L23" s="102"/>
      <c r="M23" s="102"/>
      <c r="N23" s="102"/>
      <c r="O23" s="20"/>
    </row>
    <row r="24" spans="1:15" x14ac:dyDescent="0.3">
      <c r="A24" s="20"/>
      <c r="B24" s="102"/>
      <c r="C24" s="102"/>
      <c r="D24" s="102"/>
      <c r="E24" s="102"/>
      <c r="F24" s="102"/>
      <c r="G24" s="102"/>
      <c r="H24" s="102"/>
      <c r="I24" s="102"/>
      <c r="J24" s="102"/>
      <c r="K24" s="102"/>
      <c r="L24" s="102"/>
      <c r="M24" s="102"/>
      <c r="N24" s="102"/>
      <c r="O24" s="20"/>
    </row>
    <row r="25" spans="1:15" x14ac:dyDescent="0.3">
      <c r="A25" s="20"/>
      <c r="B25" s="102"/>
      <c r="C25" s="102"/>
      <c r="D25" s="102"/>
      <c r="E25" s="102"/>
      <c r="F25" s="102"/>
      <c r="G25" s="102"/>
      <c r="H25" s="102"/>
      <c r="I25" s="102"/>
      <c r="J25" s="102"/>
      <c r="K25" s="102"/>
      <c r="L25" s="102"/>
      <c r="M25" s="102"/>
      <c r="N25" s="102"/>
      <c r="O25" s="20"/>
    </row>
    <row r="26" spans="1:15" ht="15" customHeight="1" x14ac:dyDescent="0.3">
      <c r="A26" s="20"/>
      <c r="B26" s="20"/>
      <c r="C26" s="20"/>
      <c r="D26" s="20"/>
      <c r="E26" s="20"/>
      <c r="F26" s="20"/>
      <c r="G26" s="20"/>
      <c r="H26" s="20"/>
      <c r="I26" s="20"/>
      <c r="J26" s="20"/>
      <c r="K26" s="20"/>
      <c r="L26" s="20"/>
      <c r="M26" s="20"/>
      <c r="N26" s="20"/>
      <c r="O26" s="20"/>
    </row>
    <row r="27" spans="1:15" x14ac:dyDescent="0.3">
      <c r="A27" s="20"/>
      <c r="B27" s="103" t="s">
        <v>157</v>
      </c>
      <c r="C27" s="104"/>
      <c r="D27" s="104"/>
      <c r="E27" s="104"/>
      <c r="F27" s="104"/>
      <c r="G27" s="104"/>
      <c r="H27" s="104"/>
      <c r="I27" s="104"/>
      <c r="J27" s="104"/>
      <c r="K27" s="104"/>
      <c r="L27" s="104"/>
      <c r="M27" s="104"/>
      <c r="N27" s="105"/>
      <c r="O27" s="20"/>
    </row>
    <row r="28" spans="1:15" x14ac:dyDescent="0.3">
      <c r="A28" s="20"/>
      <c r="B28" s="106" t="s">
        <v>206</v>
      </c>
      <c r="C28" s="106"/>
      <c r="D28" s="106"/>
      <c r="E28" s="106"/>
      <c r="F28" s="106"/>
      <c r="G28" s="106"/>
      <c r="H28" s="106"/>
      <c r="I28" s="106"/>
      <c r="J28" s="106"/>
      <c r="K28" s="106"/>
      <c r="L28" s="106"/>
      <c r="M28" s="106"/>
      <c r="N28" s="106"/>
      <c r="O28" s="20"/>
    </row>
    <row r="29" spans="1:15" x14ac:dyDescent="0.3">
      <c r="A29" s="20"/>
      <c r="B29" s="106"/>
      <c r="C29" s="106"/>
      <c r="D29" s="106"/>
      <c r="E29" s="106"/>
      <c r="F29" s="106"/>
      <c r="G29" s="106"/>
      <c r="H29" s="106"/>
      <c r="I29" s="106"/>
      <c r="J29" s="106"/>
      <c r="K29" s="106"/>
      <c r="L29" s="106"/>
      <c r="M29" s="106"/>
      <c r="N29" s="106"/>
      <c r="O29" s="20"/>
    </row>
    <row r="30" spans="1:15" x14ac:dyDescent="0.3">
      <c r="A30" s="20"/>
      <c r="B30" s="106"/>
      <c r="C30" s="106"/>
      <c r="D30" s="106"/>
      <c r="E30" s="106"/>
      <c r="F30" s="106"/>
      <c r="G30" s="106"/>
      <c r="H30" s="106"/>
      <c r="I30" s="106"/>
      <c r="J30" s="106"/>
      <c r="K30" s="106"/>
      <c r="L30" s="106"/>
      <c r="M30" s="106"/>
      <c r="N30" s="106"/>
      <c r="O30" s="20"/>
    </row>
    <row r="31" spans="1:15" x14ac:dyDescent="0.3">
      <c r="A31" s="20"/>
      <c r="B31" s="106"/>
      <c r="C31" s="106"/>
      <c r="D31" s="106"/>
      <c r="E31" s="106"/>
      <c r="F31" s="106"/>
      <c r="G31" s="106"/>
      <c r="H31" s="106"/>
      <c r="I31" s="106"/>
      <c r="J31" s="106"/>
      <c r="K31" s="106"/>
      <c r="L31" s="106"/>
      <c r="M31" s="106"/>
      <c r="N31" s="106"/>
      <c r="O31" s="20"/>
    </row>
    <row r="32" spans="1:15" ht="15" customHeight="1" x14ac:dyDescent="0.3">
      <c r="A32" s="20"/>
      <c r="B32" s="20"/>
      <c r="C32" s="20"/>
      <c r="D32" s="20"/>
      <c r="E32" s="20"/>
      <c r="F32" s="20"/>
      <c r="G32" s="20"/>
      <c r="H32" s="20"/>
      <c r="I32" s="20"/>
      <c r="J32" s="20"/>
      <c r="K32" s="20"/>
      <c r="L32" s="20"/>
      <c r="M32" s="20"/>
      <c r="N32" s="20"/>
      <c r="O32" s="20"/>
    </row>
    <row r="33" spans="1:15" x14ac:dyDescent="0.3">
      <c r="A33" s="20"/>
      <c r="B33" s="96" t="s">
        <v>28</v>
      </c>
      <c r="C33" s="96"/>
      <c r="D33" s="96"/>
      <c r="E33" s="96"/>
      <c r="F33" s="96"/>
      <c r="G33" s="20"/>
      <c r="H33" s="20"/>
      <c r="I33" s="97" t="s">
        <v>161</v>
      </c>
      <c r="J33" s="97"/>
      <c r="K33" s="97"/>
      <c r="L33" s="97"/>
      <c r="M33" s="97"/>
      <c r="N33" s="97"/>
      <c r="O33" s="20"/>
    </row>
    <row r="34" spans="1:15" x14ac:dyDescent="0.3">
      <c r="A34" s="20"/>
      <c r="B34" s="98"/>
      <c r="C34" s="98"/>
      <c r="D34" s="98"/>
      <c r="E34" s="98"/>
      <c r="F34" s="98"/>
      <c r="G34" s="20"/>
      <c r="H34" s="20"/>
      <c r="I34" s="98"/>
      <c r="J34" s="98"/>
      <c r="K34" s="98"/>
      <c r="L34" s="98"/>
      <c r="M34" s="98"/>
      <c r="N34" s="98"/>
      <c r="O34" s="20"/>
    </row>
    <row r="35" spans="1:15" x14ac:dyDescent="0.3">
      <c r="A35" s="20"/>
      <c r="B35" s="98"/>
      <c r="C35" s="98"/>
      <c r="D35" s="98"/>
      <c r="E35" s="98"/>
      <c r="F35" s="98"/>
      <c r="G35" s="20"/>
      <c r="H35" s="20"/>
      <c r="I35" s="98"/>
      <c r="J35" s="98"/>
      <c r="K35" s="98"/>
      <c r="L35" s="98"/>
      <c r="M35" s="98"/>
      <c r="N35" s="98"/>
      <c r="O35" s="20"/>
    </row>
    <row r="36" spans="1:15" ht="9" customHeight="1" x14ac:dyDescent="0.3">
      <c r="A36" s="20"/>
      <c r="B36" s="20"/>
      <c r="C36" s="20"/>
      <c r="D36" s="20"/>
      <c r="E36" s="20"/>
      <c r="F36" s="20"/>
      <c r="G36" s="20"/>
      <c r="H36" s="20"/>
      <c r="I36" s="20"/>
      <c r="J36" s="20"/>
      <c r="K36" s="20"/>
      <c r="L36" s="20"/>
      <c r="M36" s="20"/>
      <c r="N36" s="20"/>
      <c r="O36" s="20"/>
    </row>
  </sheetData>
  <mergeCells count="57">
    <mergeCell ref="B33:F33"/>
    <mergeCell ref="I33:N33"/>
    <mergeCell ref="B34:F35"/>
    <mergeCell ref="I34:N35"/>
    <mergeCell ref="E6:F6"/>
    <mergeCell ref="G6:I6"/>
    <mergeCell ref="B19:H19"/>
    <mergeCell ref="J19:N19"/>
    <mergeCell ref="B21:N21"/>
    <mergeCell ref="B22:N25"/>
    <mergeCell ref="B27:N27"/>
    <mergeCell ref="B28:N31"/>
    <mergeCell ref="C17:F17"/>
    <mergeCell ref="G17:H17"/>
    <mergeCell ref="K17:N17"/>
    <mergeCell ref="C18:F18"/>
    <mergeCell ref="G18:H18"/>
    <mergeCell ref="K18:N18"/>
    <mergeCell ref="C15:F15"/>
    <mergeCell ref="G15:H15"/>
    <mergeCell ref="K15:N15"/>
    <mergeCell ref="C16:F16"/>
    <mergeCell ref="G16:H16"/>
    <mergeCell ref="K16:N16"/>
    <mergeCell ref="C13:F13"/>
    <mergeCell ref="G13:H13"/>
    <mergeCell ref="K13:N13"/>
    <mergeCell ref="C14:F14"/>
    <mergeCell ref="G14:H14"/>
    <mergeCell ref="K14:N14"/>
    <mergeCell ref="C11:F11"/>
    <mergeCell ref="G11:H11"/>
    <mergeCell ref="K11:N11"/>
    <mergeCell ref="C12:F12"/>
    <mergeCell ref="G12:H12"/>
    <mergeCell ref="K12:N12"/>
    <mergeCell ref="C10:F10"/>
    <mergeCell ref="G10:H10"/>
    <mergeCell ref="K10:N10"/>
    <mergeCell ref="B5:C5"/>
    <mergeCell ref="B6:C6"/>
    <mergeCell ref="B8:H8"/>
    <mergeCell ref="J8:N8"/>
    <mergeCell ref="C9:F9"/>
    <mergeCell ref="G9:H9"/>
    <mergeCell ref="K9:N9"/>
    <mergeCell ref="J6:K6"/>
    <mergeCell ref="L6:N6"/>
    <mergeCell ref="E5:G5"/>
    <mergeCell ref="I5:N5"/>
    <mergeCell ref="B2:N2"/>
    <mergeCell ref="B3:C3"/>
    <mergeCell ref="B4:C4"/>
    <mergeCell ref="D3:G3"/>
    <mergeCell ref="D4:G4"/>
    <mergeCell ref="I3:N3"/>
    <mergeCell ref="I4:N4"/>
  </mergeCells>
  <dataValidations count="1">
    <dataValidation type="list" allowBlank="1" showInputMessage="1" showErrorMessage="1" sqref="D6" xr:uid="{00000000-0002-0000-0000-000000000000}">
      <formula1>Designations</formula1>
    </dataValidation>
  </dataValidations>
  <pageMargins left="0.70866141732283472" right="0.70866141732283472" top="0.74803149606299213" bottom="0.74803149606299213" header="0.31496062992125984" footer="0.31496062992125984"/>
  <pageSetup paperSize="9" scale="74" orientation="landscape" r:id="rId1"/>
  <headerFooter>
    <oddHeader>&amp;LVistaar Systems Pvt. Ltd.&amp;R&amp;A</oddHeader>
    <oddFooter>&amp;LConfidential&amp;RPage &amp;P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'Guidance Sheet'!$G$9:$G$16</xm:f>
          </x14:formula1>
          <xm:sqref>I4:N4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O84"/>
  <sheetViews>
    <sheetView showGridLines="0" topLeftCell="A30" zoomScale="83" workbookViewId="0">
      <selection activeCell="B40" sqref="B40:N49"/>
    </sheetView>
  </sheetViews>
  <sheetFormatPr defaultColWidth="9.109375" defaultRowHeight="13.2" x14ac:dyDescent="0.25"/>
  <cols>
    <col min="1" max="1" width="2.88671875" style="82" bestFit="1" customWidth="1"/>
    <col min="2" max="3" width="9.109375" style="80"/>
    <col min="4" max="7" width="15.109375" style="80" customWidth="1"/>
    <col min="8" max="8" width="12.109375" style="80" bestFit="1" customWidth="1"/>
    <col min="9" max="14" width="12" style="80" customWidth="1"/>
    <col min="15" max="15" width="2" style="80" customWidth="1"/>
    <col min="16" max="16384" width="9.109375" style="80"/>
  </cols>
  <sheetData>
    <row r="1" spans="1:15" ht="9" customHeight="1" x14ac:dyDescent="0.25">
      <c r="A1" s="78"/>
      <c r="B1" s="79"/>
      <c r="C1" s="79"/>
      <c r="D1" s="79"/>
      <c r="E1" s="79"/>
      <c r="F1" s="79"/>
      <c r="G1" s="79"/>
      <c r="H1" s="79"/>
      <c r="I1" s="79"/>
      <c r="J1" s="79"/>
      <c r="K1" s="79"/>
      <c r="L1" s="79"/>
      <c r="M1" s="79"/>
      <c r="N1" s="79"/>
      <c r="O1" s="79"/>
    </row>
    <row r="2" spans="1:15" x14ac:dyDescent="0.25">
      <c r="A2" s="78"/>
      <c r="B2" s="109" t="s">
        <v>164</v>
      </c>
      <c r="C2" s="109"/>
      <c r="D2" s="109"/>
      <c r="E2" s="109"/>
      <c r="F2" s="109"/>
      <c r="G2" s="109"/>
      <c r="H2" s="109"/>
      <c r="I2" s="109"/>
      <c r="J2" s="109"/>
      <c r="K2" s="109"/>
      <c r="L2" s="109"/>
      <c r="M2" s="109"/>
      <c r="N2" s="109"/>
      <c r="O2" s="79"/>
    </row>
    <row r="3" spans="1:15" ht="14.25" customHeight="1" x14ac:dyDescent="0.25">
      <c r="A3" s="78"/>
      <c r="B3" s="110" t="s">
        <v>0</v>
      </c>
      <c r="C3" s="110"/>
      <c r="D3" s="111" t="s">
        <v>175</v>
      </c>
      <c r="E3" s="111"/>
      <c r="F3" s="111"/>
      <c r="G3" s="111"/>
      <c r="H3" s="81" t="s">
        <v>1</v>
      </c>
      <c r="I3" s="112" t="s">
        <v>177</v>
      </c>
      <c r="J3" s="112"/>
      <c r="K3" s="112"/>
      <c r="L3" s="112"/>
      <c r="M3" s="112"/>
      <c r="N3" s="112"/>
      <c r="O3" s="79"/>
    </row>
    <row r="4" spans="1:15" ht="14.25" customHeight="1" x14ac:dyDescent="0.25">
      <c r="A4" s="78"/>
      <c r="B4" s="110" t="s">
        <v>2</v>
      </c>
      <c r="C4" s="110"/>
      <c r="D4" s="111" t="s">
        <v>96</v>
      </c>
      <c r="E4" s="111"/>
      <c r="F4" s="111"/>
      <c r="G4" s="111"/>
      <c r="H4" s="81" t="s">
        <v>3</v>
      </c>
      <c r="I4" s="112" t="s">
        <v>96</v>
      </c>
      <c r="J4" s="112"/>
      <c r="K4" s="112"/>
      <c r="L4" s="112"/>
      <c r="M4" s="112"/>
      <c r="N4" s="112"/>
      <c r="O4" s="79"/>
    </row>
    <row r="5" spans="1:15" ht="9" customHeight="1" x14ac:dyDescent="0.25">
      <c r="A5" s="78"/>
      <c r="B5" s="79"/>
      <c r="C5" s="79"/>
      <c r="D5" s="79"/>
      <c r="E5" s="79"/>
      <c r="F5" s="79"/>
      <c r="G5" s="79"/>
      <c r="H5" s="79"/>
      <c r="I5" s="79"/>
      <c r="J5" s="79"/>
      <c r="K5" s="79"/>
      <c r="L5" s="79"/>
      <c r="M5" s="79"/>
      <c r="N5" s="79"/>
      <c r="O5" s="79"/>
    </row>
    <row r="6" spans="1:15" x14ac:dyDescent="0.25">
      <c r="A6" s="78"/>
      <c r="B6" s="113" t="s">
        <v>165</v>
      </c>
      <c r="C6" s="113"/>
      <c r="D6" s="113"/>
      <c r="E6" s="113"/>
      <c r="F6" s="113"/>
      <c r="G6" s="113"/>
      <c r="H6" s="113"/>
      <c r="I6" s="113"/>
      <c r="J6" s="113"/>
      <c r="K6" s="113"/>
      <c r="L6" s="113"/>
      <c r="M6" s="113"/>
      <c r="N6" s="113"/>
      <c r="O6" s="79"/>
    </row>
    <row r="7" spans="1:15" x14ac:dyDescent="0.25">
      <c r="A7" s="78"/>
      <c r="B7" s="113"/>
      <c r="C7" s="113"/>
      <c r="D7" s="113"/>
      <c r="E7" s="113"/>
      <c r="F7" s="113"/>
      <c r="G7" s="113"/>
      <c r="H7" s="113"/>
      <c r="I7" s="113"/>
      <c r="J7" s="113"/>
      <c r="K7" s="113"/>
      <c r="L7" s="113"/>
      <c r="M7" s="113"/>
      <c r="N7" s="113"/>
      <c r="O7" s="79"/>
    </row>
    <row r="8" spans="1:15" x14ac:dyDescent="0.25">
      <c r="A8" s="78">
        <v>1</v>
      </c>
      <c r="B8" s="108" t="s">
        <v>166</v>
      </c>
      <c r="C8" s="108"/>
      <c r="D8" s="108"/>
      <c r="E8" s="108"/>
      <c r="F8" s="108"/>
      <c r="G8" s="108"/>
      <c r="H8" s="108"/>
      <c r="I8" s="108"/>
      <c r="J8" s="108"/>
      <c r="K8" s="108"/>
      <c r="L8" s="108"/>
      <c r="M8" s="108"/>
      <c r="N8" s="108"/>
      <c r="O8" s="79"/>
    </row>
    <row r="9" spans="1:15" x14ac:dyDescent="0.25">
      <c r="A9" s="78"/>
      <c r="B9" s="108"/>
      <c r="C9" s="108"/>
      <c r="D9" s="108"/>
      <c r="E9" s="108"/>
      <c r="F9" s="108"/>
      <c r="G9" s="108"/>
      <c r="H9" s="108"/>
      <c r="I9" s="108"/>
      <c r="J9" s="108"/>
      <c r="K9" s="108"/>
      <c r="L9" s="108"/>
      <c r="M9" s="108"/>
      <c r="N9" s="108"/>
      <c r="O9" s="79"/>
    </row>
    <row r="10" spans="1:15" x14ac:dyDescent="0.25">
      <c r="A10" s="78"/>
      <c r="B10" s="107" t="s">
        <v>190</v>
      </c>
      <c r="C10" s="107"/>
      <c r="D10" s="107"/>
      <c r="E10" s="107"/>
      <c r="F10" s="107"/>
      <c r="G10" s="107"/>
      <c r="H10" s="107"/>
      <c r="I10" s="107"/>
      <c r="J10" s="107"/>
      <c r="K10" s="107"/>
      <c r="L10" s="107"/>
      <c r="M10" s="107"/>
      <c r="N10" s="107"/>
      <c r="O10" s="79"/>
    </row>
    <row r="11" spans="1:15" x14ac:dyDescent="0.25">
      <c r="A11" s="78"/>
      <c r="B11" s="107"/>
      <c r="C11" s="107"/>
      <c r="D11" s="107"/>
      <c r="E11" s="107"/>
      <c r="F11" s="107"/>
      <c r="G11" s="107"/>
      <c r="H11" s="107"/>
      <c r="I11" s="107"/>
      <c r="J11" s="107"/>
      <c r="K11" s="107"/>
      <c r="L11" s="107"/>
      <c r="M11" s="107"/>
      <c r="N11" s="107"/>
      <c r="O11" s="79"/>
    </row>
    <row r="12" spans="1:15" x14ac:dyDescent="0.25">
      <c r="A12" s="78"/>
      <c r="B12" s="107"/>
      <c r="C12" s="107"/>
      <c r="D12" s="107"/>
      <c r="E12" s="107"/>
      <c r="F12" s="107"/>
      <c r="G12" s="107"/>
      <c r="H12" s="107"/>
      <c r="I12" s="107"/>
      <c r="J12" s="107"/>
      <c r="K12" s="107"/>
      <c r="L12" s="107"/>
      <c r="M12" s="107"/>
      <c r="N12" s="107"/>
      <c r="O12" s="79"/>
    </row>
    <row r="13" spans="1:15" x14ac:dyDescent="0.25">
      <c r="A13" s="78"/>
      <c r="B13" s="107"/>
      <c r="C13" s="107"/>
      <c r="D13" s="107"/>
      <c r="E13" s="107"/>
      <c r="F13" s="107"/>
      <c r="G13" s="107"/>
      <c r="H13" s="107"/>
      <c r="I13" s="107"/>
      <c r="J13" s="107"/>
      <c r="K13" s="107"/>
      <c r="L13" s="107"/>
      <c r="M13" s="107"/>
      <c r="N13" s="107"/>
      <c r="O13" s="79"/>
    </row>
    <row r="14" spans="1:15" x14ac:dyDescent="0.25">
      <c r="A14" s="78"/>
      <c r="B14" s="107"/>
      <c r="C14" s="107"/>
      <c r="D14" s="107"/>
      <c r="E14" s="107"/>
      <c r="F14" s="107"/>
      <c r="G14" s="107"/>
      <c r="H14" s="107"/>
      <c r="I14" s="107"/>
      <c r="J14" s="107"/>
      <c r="K14" s="107"/>
      <c r="L14" s="107"/>
      <c r="M14" s="107"/>
      <c r="N14" s="107"/>
      <c r="O14" s="79"/>
    </row>
    <row r="15" spans="1:15" x14ac:dyDescent="0.25">
      <c r="A15" s="78"/>
      <c r="B15" s="107"/>
      <c r="C15" s="107"/>
      <c r="D15" s="107"/>
      <c r="E15" s="107"/>
      <c r="F15" s="107"/>
      <c r="G15" s="107"/>
      <c r="H15" s="107"/>
      <c r="I15" s="107"/>
      <c r="J15" s="107"/>
      <c r="K15" s="107"/>
      <c r="L15" s="107"/>
      <c r="M15" s="107"/>
      <c r="N15" s="107"/>
      <c r="O15" s="79"/>
    </row>
    <row r="16" spans="1:15" x14ac:dyDescent="0.25">
      <c r="A16" s="78"/>
      <c r="B16" s="107"/>
      <c r="C16" s="107"/>
      <c r="D16" s="107"/>
      <c r="E16" s="107"/>
      <c r="F16" s="107"/>
      <c r="G16" s="107"/>
      <c r="H16" s="107"/>
      <c r="I16" s="107"/>
      <c r="J16" s="107"/>
      <c r="K16" s="107"/>
      <c r="L16" s="107"/>
      <c r="M16" s="107"/>
      <c r="N16" s="107"/>
      <c r="O16" s="79"/>
    </row>
    <row r="17" spans="1:15" x14ac:dyDescent="0.25">
      <c r="A17" s="78"/>
      <c r="B17" s="107"/>
      <c r="C17" s="107"/>
      <c r="D17" s="107"/>
      <c r="E17" s="107"/>
      <c r="F17" s="107"/>
      <c r="G17" s="107"/>
      <c r="H17" s="107"/>
      <c r="I17" s="107"/>
      <c r="J17" s="107"/>
      <c r="K17" s="107"/>
      <c r="L17" s="107"/>
      <c r="M17" s="107"/>
      <c r="N17" s="107"/>
      <c r="O17" s="79"/>
    </row>
    <row r="18" spans="1:15" x14ac:dyDescent="0.25">
      <c r="A18" s="78">
        <v>2</v>
      </c>
      <c r="B18" s="108" t="s">
        <v>167</v>
      </c>
      <c r="C18" s="108"/>
      <c r="D18" s="108"/>
      <c r="E18" s="108"/>
      <c r="F18" s="108"/>
      <c r="G18" s="108"/>
      <c r="H18" s="108"/>
      <c r="I18" s="108"/>
      <c r="J18" s="108"/>
      <c r="K18" s="108"/>
      <c r="L18" s="108"/>
      <c r="M18" s="108"/>
      <c r="N18" s="108"/>
      <c r="O18" s="79"/>
    </row>
    <row r="19" spans="1:15" x14ac:dyDescent="0.25">
      <c r="A19" s="78"/>
      <c r="B19" s="108"/>
      <c r="C19" s="108"/>
      <c r="D19" s="108"/>
      <c r="E19" s="108"/>
      <c r="F19" s="108"/>
      <c r="G19" s="108"/>
      <c r="H19" s="108"/>
      <c r="I19" s="108"/>
      <c r="J19" s="108"/>
      <c r="K19" s="108"/>
      <c r="L19" s="108"/>
      <c r="M19" s="108"/>
      <c r="N19" s="108"/>
      <c r="O19" s="79"/>
    </row>
    <row r="20" spans="1:15" x14ac:dyDescent="0.25">
      <c r="A20" s="78"/>
      <c r="B20" s="107" t="s">
        <v>181</v>
      </c>
      <c r="C20" s="107"/>
      <c r="D20" s="107"/>
      <c r="E20" s="107"/>
      <c r="F20" s="107"/>
      <c r="G20" s="107"/>
      <c r="H20" s="107"/>
      <c r="I20" s="107"/>
      <c r="J20" s="107"/>
      <c r="K20" s="107"/>
      <c r="L20" s="107"/>
      <c r="M20" s="107"/>
      <c r="N20" s="107"/>
      <c r="O20" s="79"/>
    </row>
    <row r="21" spans="1:15" x14ac:dyDescent="0.25">
      <c r="A21" s="78"/>
      <c r="B21" s="107"/>
      <c r="C21" s="107"/>
      <c r="D21" s="107"/>
      <c r="E21" s="107"/>
      <c r="F21" s="107"/>
      <c r="G21" s="107"/>
      <c r="H21" s="107"/>
      <c r="I21" s="107"/>
      <c r="J21" s="107"/>
      <c r="K21" s="107"/>
      <c r="L21" s="107"/>
      <c r="M21" s="107"/>
      <c r="N21" s="107"/>
      <c r="O21" s="79"/>
    </row>
    <row r="22" spans="1:15" x14ac:dyDescent="0.25">
      <c r="A22" s="78"/>
      <c r="B22" s="107"/>
      <c r="C22" s="107"/>
      <c r="D22" s="107"/>
      <c r="E22" s="107"/>
      <c r="F22" s="107"/>
      <c r="G22" s="107"/>
      <c r="H22" s="107"/>
      <c r="I22" s="107"/>
      <c r="J22" s="107"/>
      <c r="K22" s="107"/>
      <c r="L22" s="107"/>
      <c r="M22" s="107"/>
      <c r="N22" s="107"/>
      <c r="O22" s="79"/>
    </row>
    <row r="23" spans="1:15" x14ac:dyDescent="0.25">
      <c r="A23" s="78"/>
      <c r="B23" s="107"/>
      <c r="C23" s="107"/>
      <c r="D23" s="107"/>
      <c r="E23" s="107"/>
      <c r="F23" s="107"/>
      <c r="G23" s="107"/>
      <c r="H23" s="107"/>
      <c r="I23" s="107"/>
      <c r="J23" s="107"/>
      <c r="K23" s="107"/>
      <c r="L23" s="107"/>
      <c r="M23" s="107"/>
      <c r="N23" s="107"/>
      <c r="O23" s="79"/>
    </row>
    <row r="24" spans="1:15" x14ac:dyDescent="0.25">
      <c r="A24" s="78"/>
      <c r="B24" s="107"/>
      <c r="C24" s="107"/>
      <c r="D24" s="107"/>
      <c r="E24" s="107"/>
      <c r="F24" s="107"/>
      <c r="G24" s="107"/>
      <c r="H24" s="107"/>
      <c r="I24" s="107"/>
      <c r="J24" s="107"/>
      <c r="K24" s="107"/>
      <c r="L24" s="107"/>
      <c r="M24" s="107"/>
      <c r="N24" s="107"/>
      <c r="O24" s="79"/>
    </row>
    <row r="25" spans="1:15" x14ac:dyDescent="0.25">
      <c r="A25" s="78"/>
      <c r="B25" s="107"/>
      <c r="C25" s="107"/>
      <c r="D25" s="107"/>
      <c r="E25" s="107"/>
      <c r="F25" s="107"/>
      <c r="G25" s="107"/>
      <c r="H25" s="107"/>
      <c r="I25" s="107"/>
      <c r="J25" s="107"/>
      <c r="K25" s="107"/>
      <c r="L25" s="107"/>
      <c r="M25" s="107"/>
      <c r="N25" s="107"/>
      <c r="O25" s="79"/>
    </row>
    <row r="26" spans="1:15" x14ac:dyDescent="0.25">
      <c r="A26" s="78"/>
      <c r="B26" s="107"/>
      <c r="C26" s="107"/>
      <c r="D26" s="107"/>
      <c r="E26" s="107"/>
      <c r="F26" s="107"/>
      <c r="G26" s="107"/>
      <c r="H26" s="107"/>
      <c r="I26" s="107"/>
      <c r="J26" s="107"/>
      <c r="K26" s="107"/>
      <c r="L26" s="107"/>
      <c r="M26" s="107"/>
      <c r="N26" s="107"/>
      <c r="O26" s="79"/>
    </row>
    <row r="27" spans="1:15" x14ac:dyDescent="0.25">
      <c r="A27" s="78"/>
      <c r="B27" s="107"/>
      <c r="C27" s="107"/>
      <c r="D27" s="107"/>
      <c r="E27" s="107"/>
      <c r="F27" s="107"/>
      <c r="G27" s="107"/>
      <c r="H27" s="107"/>
      <c r="I27" s="107"/>
      <c r="J27" s="107"/>
      <c r="K27" s="107"/>
      <c r="L27" s="107"/>
      <c r="M27" s="107"/>
      <c r="N27" s="107"/>
      <c r="O27" s="79"/>
    </row>
    <row r="28" spans="1:15" x14ac:dyDescent="0.25">
      <c r="A28" s="78">
        <v>3</v>
      </c>
      <c r="B28" s="108" t="s">
        <v>168</v>
      </c>
      <c r="C28" s="108"/>
      <c r="D28" s="108"/>
      <c r="E28" s="108"/>
      <c r="F28" s="108"/>
      <c r="G28" s="108"/>
      <c r="H28" s="108"/>
      <c r="I28" s="108"/>
      <c r="J28" s="108"/>
      <c r="K28" s="108"/>
      <c r="L28" s="108"/>
      <c r="M28" s="108"/>
      <c r="N28" s="108"/>
      <c r="O28" s="79"/>
    </row>
    <row r="29" spans="1:15" x14ac:dyDescent="0.25">
      <c r="A29" s="78"/>
      <c r="B29" s="108"/>
      <c r="C29" s="108"/>
      <c r="D29" s="108"/>
      <c r="E29" s="108"/>
      <c r="F29" s="108"/>
      <c r="G29" s="108"/>
      <c r="H29" s="108"/>
      <c r="I29" s="108"/>
      <c r="J29" s="108"/>
      <c r="K29" s="108"/>
      <c r="L29" s="108"/>
      <c r="M29" s="108"/>
      <c r="N29" s="108"/>
      <c r="O29" s="79"/>
    </row>
    <row r="30" spans="1:15" x14ac:dyDescent="0.25">
      <c r="A30" s="78"/>
      <c r="B30" s="107" t="s">
        <v>189</v>
      </c>
      <c r="C30" s="107"/>
      <c r="D30" s="107"/>
      <c r="E30" s="107"/>
      <c r="F30" s="107"/>
      <c r="G30" s="107"/>
      <c r="H30" s="107"/>
      <c r="I30" s="107"/>
      <c r="J30" s="107"/>
      <c r="K30" s="107"/>
      <c r="L30" s="107"/>
      <c r="M30" s="107"/>
      <c r="N30" s="107"/>
      <c r="O30" s="79"/>
    </row>
    <row r="31" spans="1:15" x14ac:dyDescent="0.25">
      <c r="A31" s="78"/>
      <c r="B31" s="107"/>
      <c r="C31" s="107"/>
      <c r="D31" s="107"/>
      <c r="E31" s="107"/>
      <c r="F31" s="107"/>
      <c r="G31" s="107"/>
      <c r="H31" s="107"/>
      <c r="I31" s="107"/>
      <c r="J31" s="107"/>
      <c r="K31" s="107"/>
      <c r="L31" s="107"/>
      <c r="M31" s="107"/>
      <c r="N31" s="107"/>
      <c r="O31" s="79"/>
    </row>
    <row r="32" spans="1:15" x14ac:dyDescent="0.25">
      <c r="A32" s="78"/>
      <c r="B32" s="107"/>
      <c r="C32" s="107"/>
      <c r="D32" s="107"/>
      <c r="E32" s="107"/>
      <c r="F32" s="107"/>
      <c r="G32" s="107"/>
      <c r="H32" s="107"/>
      <c r="I32" s="107"/>
      <c r="J32" s="107"/>
      <c r="K32" s="107"/>
      <c r="L32" s="107"/>
      <c r="M32" s="107"/>
      <c r="N32" s="107"/>
      <c r="O32" s="79"/>
    </row>
    <row r="33" spans="1:15" x14ac:dyDescent="0.25">
      <c r="A33" s="78"/>
      <c r="B33" s="107"/>
      <c r="C33" s="107"/>
      <c r="D33" s="107"/>
      <c r="E33" s="107"/>
      <c r="F33" s="107"/>
      <c r="G33" s="107"/>
      <c r="H33" s="107"/>
      <c r="I33" s="107"/>
      <c r="J33" s="107"/>
      <c r="K33" s="107"/>
      <c r="L33" s="107"/>
      <c r="M33" s="107"/>
      <c r="N33" s="107"/>
      <c r="O33" s="79"/>
    </row>
    <row r="34" spans="1:15" x14ac:dyDescent="0.25">
      <c r="A34" s="78"/>
      <c r="B34" s="107"/>
      <c r="C34" s="107"/>
      <c r="D34" s="107"/>
      <c r="E34" s="107"/>
      <c r="F34" s="107"/>
      <c r="G34" s="107"/>
      <c r="H34" s="107"/>
      <c r="I34" s="107"/>
      <c r="J34" s="107"/>
      <c r="K34" s="107"/>
      <c r="L34" s="107"/>
      <c r="M34" s="107"/>
      <c r="N34" s="107"/>
      <c r="O34" s="79"/>
    </row>
    <row r="35" spans="1:15" x14ac:dyDescent="0.25">
      <c r="A35" s="78"/>
      <c r="B35" s="107"/>
      <c r="C35" s="107"/>
      <c r="D35" s="107"/>
      <c r="E35" s="107"/>
      <c r="F35" s="107"/>
      <c r="G35" s="107"/>
      <c r="H35" s="107"/>
      <c r="I35" s="107"/>
      <c r="J35" s="107"/>
      <c r="K35" s="107"/>
      <c r="L35" s="107"/>
      <c r="M35" s="107"/>
      <c r="N35" s="107"/>
      <c r="O35" s="79"/>
    </row>
    <row r="36" spans="1:15" x14ac:dyDescent="0.25">
      <c r="A36" s="78"/>
      <c r="B36" s="107"/>
      <c r="C36" s="107"/>
      <c r="D36" s="107"/>
      <c r="E36" s="107"/>
      <c r="F36" s="107"/>
      <c r="G36" s="107"/>
      <c r="H36" s="107"/>
      <c r="I36" s="107"/>
      <c r="J36" s="107"/>
      <c r="K36" s="107"/>
      <c r="L36" s="107"/>
      <c r="M36" s="107"/>
      <c r="N36" s="107"/>
      <c r="O36" s="79"/>
    </row>
    <row r="37" spans="1:15" x14ac:dyDescent="0.25">
      <c r="A37" s="78"/>
      <c r="B37" s="107"/>
      <c r="C37" s="107"/>
      <c r="D37" s="107"/>
      <c r="E37" s="107"/>
      <c r="F37" s="107"/>
      <c r="G37" s="107"/>
      <c r="H37" s="107"/>
      <c r="I37" s="107"/>
      <c r="J37" s="107"/>
      <c r="K37" s="107"/>
      <c r="L37" s="107"/>
      <c r="M37" s="107"/>
      <c r="N37" s="107"/>
      <c r="O37" s="79"/>
    </row>
    <row r="38" spans="1:15" x14ac:dyDescent="0.25">
      <c r="A38" s="78">
        <v>4</v>
      </c>
      <c r="B38" s="108" t="s">
        <v>169</v>
      </c>
      <c r="C38" s="108"/>
      <c r="D38" s="108"/>
      <c r="E38" s="108"/>
      <c r="F38" s="108"/>
      <c r="G38" s="108"/>
      <c r="H38" s="108"/>
      <c r="I38" s="108"/>
      <c r="J38" s="108"/>
      <c r="K38" s="108"/>
      <c r="L38" s="108"/>
      <c r="M38" s="108"/>
      <c r="N38" s="108"/>
      <c r="O38" s="79"/>
    </row>
    <row r="39" spans="1:15" x14ac:dyDescent="0.25">
      <c r="A39" s="78"/>
      <c r="B39" s="108"/>
      <c r="C39" s="108"/>
      <c r="D39" s="108"/>
      <c r="E39" s="108"/>
      <c r="F39" s="108"/>
      <c r="G39" s="108"/>
      <c r="H39" s="108"/>
      <c r="I39" s="108"/>
      <c r="J39" s="108"/>
      <c r="K39" s="108"/>
      <c r="L39" s="108"/>
      <c r="M39" s="108"/>
      <c r="N39" s="108"/>
      <c r="O39" s="79"/>
    </row>
    <row r="40" spans="1:15" x14ac:dyDescent="0.25">
      <c r="A40" s="78"/>
      <c r="B40" s="107" t="s">
        <v>191</v>
      </c>
      <c r="C40" s="107"/>
      <c r="D40" s="107"/>
      <c r="E40" s="107"/>
      <c r="F40" s="107"/>
      <c r="G40" s="107"/>
      <c r="H40" s="107"/>
      <c r="I40" s="107"/>
      <c r="J40" s="107"/>
      <c r="K40" s="107"/>
      <c r="L40" s="107"/>
      <c r="M40" s="107"/>
      <c r="N40" s="107"/>
      <c r="O40" s="79"/>
    </row>
    <row r="41" spans="1:15" x14ac:dyDescent="0.25">
      <c r="A41" s="78"/>
      <c r="B41" s="107"/>
      <c r="C41" s="107"/>
      <c r="D41" s="107"/>
      <c r="E41" s="107"/>
      <c r="F41" s="107"/>
      <c r="G41" s="107"/>
      <c r="H41" s="107"/>
      <c r="I41" s="107"/>
      <c r="J41" s="107"/>
      <c r="K41" s="107"/>
      <c r="L41" s="107"/>
      <c r="M41" s="107"/>
      <c r="N41" s="107"/>
      <c r="O41" s="79"/>
    </row>
    <row r="42" spans="1:15" x14ac:dyDescent="0.25">
      <c r="A42" s="78"/>
      <c r="B42" s="107"/>
      <c r="C42" s="107"/>
      <c r="D42" s="107"/>
      <c r="E42" s="107"/>
      <c r="F42" s="107"/>
      <c r="G42" s="107"/>
      <c r="H42" s="107"/>
      <c r="I42" s="107"/>
      <c r="J42" s="107"/>
      <c r="K42" s="107"/>
      <c r="L42" s="107"/>
      <c r="M42" s="107"/>
      <c r="N42" s="107"/>
      <c r="O42" s="79"/>
    </row>
    <row r="43" spans="1:15" x14ac:dyDescent="0.25">
      <c r="A43" s="78"/>
      <c r="B43" s="107"/>
      <c r="C43" s="107"/>
      <c r="D43" s="107"/>
      <c r="E43" s="107"/>
      <c r="F43" s="107"/>
      <c r="G43" s="107"/>
      <c r="H43" s="107"/>
      <c r="I43" s="107"/>
      <c r="J43" s="107"/>
      <c r="K43" s="107"/>
      <c r="L43" s="107"/>
      <c r="M43" s="107"/>
      <c r="N43" s="107"/>
      <c r="O43" s="79"/>
    </row>
    <row r="44" spans="1:15" x14ac:dyDescent="0.25">
      <c r="A44" s="78"/>
      <c r="B44" s="107"/>
      <c r="C44" s="107"/>
      <c r="D44" s="107"/>
      <c r="E44" s="107"/>
      <c r="F44" s="107"/>
      <c r="G44" s="107"/>
      <c r="H44" s="107"/>
      <c r="I44" s="107"/>
      <c r="J44" s="107"/>
      <c r="K44" s="107"/>
      <c r="L44" s="107"/>
      <c r="M44" s="107"/>
      <c r="N44" s="107"/>
      <c r="O44" s="79"/>
    </row>
    <row r="45" spans="1:15" x14ac:dyDescent="0.25">
      <c r="A45" s="78"/>
      <c r="B45" s="107"/>
      <c r="C45" s="107"/>
      <c r="D45" s="107"/>
      <c r="E45" s="107"/>
      <c r="F45" s="107"/>
      <c r="G45" s="107"/>
      <c r="H45" s="107"/>
      <c r="I45" s="107"/>
      <c r="J45" s="107"/>
      <c r="K45" s="107"/>
      <c r="L45" s="107"/>
      <c r="M45" s="107"/>
      <c r="N45" s="107"/>
      <c r="O45" s="79"/>
    </row>
    <row r="46" spans="1:15" x14ac:dyDescent="0.25">
      <c r="A46" s="78"/>
      <c r="B46" s="107"/>
      <c r="C46" s="107"/>
      <c r="D46" s="107"/>
      <c r="E46" s="107"/>
      <c r="F46" s="107"/>
      <c r="G46" s="107"/>
      <c r="H46" s="107"/>
      <c r="I46" s="107"/>
      <c r="J46" s="107"/>
      <c r="K46" s="107"/>
      <c r="L46" s="107"/>
      <c r="M46" s="107"/>
      <c r="N46" s="107"/>
      <c r="O46" s="79"/>
    </row>
    <row r="47" spans="1:15" x14ac:dyDescent="0.25">
      <c r="A47" s="78"/>
      <c r="B47" s="107"/>
      <c r="C47" s="107"/>
      <c r="D47" s="107"/>
      <c r="E47" s="107"/>
      <c r="F47" s="107"/>
      <c r="G47" s="107"/>
      <c r="H47" s="107"/>
      <c r="I47" s="107"/>
      <c r="J47" s="107"/>
      <c r="K47" s="107"/>
      <c r="L47" s="107"/>
      <c r="M47" s="107"/>
      <c r="N47" s="107"/>
      <c r="O47" s="79"/>
    </row>
    <row r="48" spans="1:15" x14ac:dyDescent="0.25">
      <c r="A48" s="78"/>
      <c r="B48" s="107"/>
      <c r="C48" s="107"/>
      <c r="D48" s="107"/>
      <c r="E48" s="107"/>
      <c r="F48" s="107"/>
      <c r="G48" s="107"/>
      <c r="H48" s="107"/>
      <c r="I48" s="107"/>
      <c r="J48" s="107"/>
      <c r="K48" s="107"/>
      <c r="L48" s="107"/>
      <c r="M48" s="107"/>
      <c r="N48" s="107"/>
      <c r="O48" s="79"/>
    </row>
    <row r="49" spans="1:15" x14ac:dyDescent="0.25">
      <c r="A49" s="78"/>
      <c r="B49" s="107"/>
      <c r="C49" s="107"/>
      <c r="D49" s="107"/>
      <c r="E49" s="107"/>
      <c r="F49" s="107"/>
      <c r="G49" s="107"/>
      <c r="H49" s="107"/>
      <c r="I49" s="107"/>
      <c r="J49" s="107"/>
      <c r="K49" s="107"/>
      <c r="L49" s="107"/>
      <c r="M49" s="107"/>
      <c r="N49" s="107"/>
      <c r="O49" s="79"/>
    </row>
    <row r="50" spans="1:15" x14ac:dyDescent="0.25">
      <c r="A50" s="78">
        <v>5</v>
      </c>
      <c r="B50" s="108" t="s">
        <v>170</v>
      </c>
      <c r="C50" s="108"/>
      <c r="D50" s="108"/>
      <c r="E50" s="108"/>
      <c r="F50" s="108"/>
      <c r="G50" s="108"/>
      <c r="H50" s="108"/>
      <c r="I50" s="108"/>
      <c r="J50" s="108"/>
      <c r="K50" s="108"/>
      <c r="L50" s="108"/>
      <c r="M50" s="108"/>
      <c r="N50" s="108"/>
      <c r="O50" s="79"/>
    </row>
    <row r="51" spans="1:15" x14ac:dyDescent="0.25">
      <c r="A51" s="78"/>
      <c r="B51" s="108"/>
      <c r="C51" s="108"/>
      <c r="D51" s="108"/>
      <c r="E51" s="108"/>
      <c r="F51" s="108"/>
      <c r="G51" s="108"/>
      <c r="H51" s="108"/>
      <c r="I51" s="108"/>
      <c r="J51" s="108"/>
      <c r="K51" s="108"/>
      <c r="L51" s="108"/>
      <c r="M51" s="108"/>
      <c r="N51" s="108"/>
      <c r="O51" s="79"/>
    </row>
    <row r="52" spans="1:15" x14ac:dyDescent="0.25">
      <c r="A52" s="78"/>
      <c r="B52" s="107" t="s">
        <v>179</v>
      </c>
      <c r="C52" s="107"/>
      <c r="D52" s="107"/>
      <c r="E52" s="107"/>
      <c r="F52" s="107"/>
      <c r="G52" s="107"/>
      <c r="H52" s="107"/>
      <c r="I52" s="107"/>
      <c r="J52" s="107"/>
      <c r="K52" s="107"/>
      <c r="L52" s="107"/>
      <c r="M52" s="107"/>
      <c r="N52" s="107"/>
      <c r="O52" s="79"/>
    </row>
    <row r="53" spans="1:15" x14ac:dyDescent="0.25">
      <c r="A53" s="78"/>
      <c r="B53" s="107"/>
      <c r="C53" s="107"/>
      <c r="D53" s="107"/>
      <c r="E53" s="107"/>
      <c r="F53" s="107"/>
      <c r="G53" s="107"/>
      <c r="H53" s="107"/>
      <c r="I53" s="107"/>
      <c r="J53" s="107"/>
      <c r="K53" s="107"/>
      <c r="L53" s="107"/>
      <c r="M53" s="107"/>
      <c r="N53" s="107"/>
      <c r="O53" s="79"/>
    </row>
    <row r="54" spans="1:15" x14ac:dyDescent="0.25">
      <c r="A54" s="78"/>
      <c r="B54" s="107"/>
      <c r="C54" s="107"/>
      <c r="D54" s="107"/>
      <c r="E54" s="107"/>
      <c r="F54" s="107"/>
      <c r="G54" s="107"/>
      <c r="H54" s="107"/>
      <c r="I54" s="107"/>
      <c r="J54" s="107"/>
      <c r="K54" s="107"/>
      <c r="L54" s="107"/>
      <c r="M54" s="107"/>
      <c r="N54" s="107"/>
      <c r="O54" s="79"/>
    </row>
    <row r="55" spans="1:15" x14ac:dyDescent="0.25">
      <c r="A55" s="78"/>
      <c r="B55" s="107"/>
      <c r="C55" s="107"/>
      <c r="D55" s="107"/>
      <c r="E55" s="107"/>
      <c r="F55" s="107"/>
      <c r="G55" s="107"/>
      <c r="H55" s="107"/>
      <c r="I55" s="107"/>
      <c r="J55" s="107"/>
      <c r="K55" s="107"/>
      <c r="L55" s="107"/>
      <c r="M55" s="107"/>
      <c r="N55" s="107"/>
      <c r="O55" s="79"/>
    </row>
    <row r="56" spans="1:15" x14ac:dyDescent="0.25">
      <c r="A56" s="78"/>
      <c r="B56" s="107"/>
      <c r="C56" s="107"/>
      <c r="D56" s="107"/>
      <c r="E56" s="107"/>
      <c r="F56" s="107"/>
      <c r="G56" s="107"/>
      <c r="H56" s="107"/>
      <c r="I56" s="107"/>
      <c r="J56" s="107"/>
      <c r="K56" s="107"/>
      <c r="L56" s="107"/>
      <c r="M56" s="107"/>
      <c r="N56" s="107"/>
      <c r="O56" s="79"/>
    </row>
    <row r="57" spans="1:15" x14ac:dyDescent="0.25">
      <c r="A57" s="78"/>
      <c r="B57" s="107"/>
      <c r="C57" s="107"/>
      <c r="D57" s="107"/>
      <c r="E57" s="107"/>
      <c r="F57" s="107"/>
      <c r="G57" s="107"/>
      <c r="H57" s="107"/>
      <c r="I57" s="107"/>
      <c r="J57" s="107"/>
      <c r="K57" s="107"/>
      <c r="L57" s="107"/>
      <c r="M57" s="107"/>
      <c r="N57" s="107"/>
      <c r="O57" s="79"/>
    </row>
    <row r="58" spans="1:15" x14ac:dyDescent="0.25">
      <c r="A58" s="78"/>
      <c r="B58" s="107"/>
      <c r="C58" s="107"/>
      <c r="D58" s="107"/>
      <c r="E58" s="107"/>
      <c r="F58" s="107"/>
      <c r="G58" s="107"/>
      <c r="H58" s="107"/>
      <c r="I58" s="107"/>
      <c r="J58" s="107"/>
      <c r="K58" s="107"/>
      <c r="L58" s="107"/>
      <c r="M58" s="107"/>
      <c r="N58" s="107"/>
      <c r="O58" s="79"/>
    </row>
    <row r="59" spans="1:15" x14ac:dyDescent="0.25">
      <c r="A59" s="78"/>
      <c r="B59" s="107"/>
      <c r="C59" s="107"/>
      <c r="D59" s="107"/>
      <c r="E59" s="107"/>
      <c r="F59" s="107"/>
      <c r="G59" s="107"/>
      <c r="H59" s="107"/>
      <c r="I59" s="107"/>
      <c r="J59" s="107"/>
      <c r="K59" s="107"/>
      <c r="L59" s="107"/>
      <c r="M59" s="107"/>
      <c r="N59" s="107"/>
      <c r="O59" s="79"/>
    </row>
    <row r="60" spans="1:15" x14ac:dyDescent="0.25">
      <c r="A60" s="78"/>
      <c r="B60" s="107"/>
      <c r="C60" s="107"/>
      <c r="D60" s="107"/>
      <c r="E60" s="107"/>
      <c r="F60" s="107"/>
      <c r="G60" s="107"/>
      <c r="H60" s="107"/>
      <c r="I60" s="107"/>
      <c r="J60" s="107"/>
      <c r="K60" s="107"/>
      <c r="L60" s="107"/>
      <c r="M60" s="107"/>
      <c r="N60" s="107"/>
      <c r="O60" s="79"/>
    </row>
    <row r="61" spans="1:15" x14ac:dyDescent="0.25">
      <c r="A61" s="78"/>
      <c r="B61" s="107"/>
      <c r="C61" s="107"/>
      <c r="D61" s="107"/>
      <c r="E61" s="107"/>
      <c r="F61" s="107"/>
      <c r="G61" s="107"/>
      <c r="H61" s="107"/>
      <c r="I61" s="107"/>
      <c r="J61" s="107"/>
      <c r="K61" s="107"/>
      <c r="L61" s="107"/>
      <c r="M61" s="107"/>
      <c r="N61" s="107"/>
      <c r="O61" s="79"/>
    </row>
    <row r="62" spans="1:15" x14ac:dyDescent="0.25">
      <c r="A62" s="78">
        <v>6</v>
      </c>
      <c r="B62" s="108" t="s">
        <v>171</v>
      </c>
      <c r="C62" s="108"/>
      <c r="D62" s="108"/>
      <c r="E62" s="108"/>
      <c r="F62" s="108"/>
      <c r="G62" s="108"/>
      <c r="H62" s="108"/>
      <c r="I62" s="108"/>
      <c r="J62" s="108"/>
      <c r="K62" s="108"/>
      <c r="L62" s="108"/>
      <c r="M62" s="108"/>
      <c r="N62" s="108"/>
      <c r="O62" s="79"/>
    </row>
    <row r="63" spans="1:15" x14ac:dyDescent="0.25">
      <c r="A63" s="78"/>
      <c r="B63" s="108"/>
      <c r="C63" s="108"/>
      <c r="D63" s="108"/>
      <c r="E63" s="108"/>
      <c r="F63" s="108"/>
      <c r="G63" s="108"/>
      <c r="H63" s="108"/>
      <c r="I63" s="108"/>
      <c r="J63" s="108"/>
      <c r="K63" s="108"/>
      <c r="L63" s="108"/>
      <c r="M63" s="108"/>
      <c r="N63" s="108"/>
      <c r="O63" s="79"/>
    </row>
    <row r="64" spans="1:15" x14ac:dyDescent="0.25">
      <c r="A64" s="78"/>
      <c r="B64" s="107" t="s">
        <v>180</v>
      </c>
      <c r="C64" s="107"/>
      <c r="D64" s="107"/>
      <c r="E64" s="107"/>
      <c r="F64" s="107"/>
      <c r="G64" s="107"/>
      <c r="H64" s="107"/>
      <c r="I64" s="107"/>
      <c r="J64" s="107"/>
      <c r="K64" s="107"/>
      <c r="L64" s="107"/>
      <c r="M64" s="107"/>
      <c r="N64" s="107"/>
      <c r="O64" s="79"/>
    </row>
    <row r="65" spans="1:15" x14ac:dyDescent="0.25">
      <c r="A65" s="78"/>
      <c r="B65" s="107"/>
      <c r="C65" s="107"/>
      <c r="D65" s="107"/>
      <c r="E65" s="107"/>
      <c r="F65" s="107"/>
      <c r="G65" s="107"/>
      <c r="H65" s="107"/>
      <c r="I65" s="107"/>
      <c r="J65" s="107"/>
      <c r="K65" s="107"/>
      <c r="L65" s="107"/>
      <c r="M65" s="107"/>
      <c r="N65" s="107"/>
      <c r="O65" s="79"/>
    </row>
    <row r="66" spans="1:15" x14ac:dyDescent="0.25">
      <c r="A66" s="78"/>
      <c r="B66" s="107"/>
      <c r="C66" s="107"/>
      <c r="D66" s="107"/>
      <c r="E66" s="107"/>
      <c r="F66" s="107"/>
      <c r="G66" s="107"/>
      <c r="H66" s="107"/>
      <c r="I66" s="107"/>
      <c r="J66" s="107"/>
      <c r="K66" s="107"/>
      <c r="L66" s="107"/>
      <c r="M66" s="107"/>
      <c r="N66" s="107"/>
      <c r="O66" s="79"/>
    </row>
    <row r="67" spans="1:15" x14ac:dyDescent="0.25">
      <c r="A67" s="78"/>
      <c r="B67" s="107"/>
      <c r="C67" s="107"/>
      <c r="D67" s="107"/>
      <c r="E67" s="107"/>
      <c r="F67" s="107"/>
      <c r="G67" s="107"/>
      <c r="H67" s="107"/>
      <c r="I67" s="107"/>
      <c r="J67" s="107"/>
      <c r="K67" s="107"/>
      <c r="L67" s="107"/>
      <c r="M67" s="107"/>
      <c r="N67" s="107"/>
      <c r="O67" s="79"/>
    </row>
    <row r="68" spans="1:15" x14ac:dyDescent="0.25">
      <c r="A68" s="78"/>
      <c r="B68" s="107"/>
      <c r="C68" s="107"/>
      <c r="D68" s="107"/>
      <c r="E68" s="107"/>
      <c r="F68" s="107"/>
      <c r="G68" s="107"/>
      <c r="H68" s="107"/>
      <c r="I68" s="107"/>
      <c r="J68" s="107"/>
      <c r="K68" s="107"/>
      <c r="L68" s="107"/>
      <c r="M68" s="107"/>
      <c r="N68" s="107"/>
      <c r="O68" s="79"/>
    </row>
    <row r="69" spans="1:15" x14ac:dyDescent="0.25">
      <c r="A69" s="78"/>
      <c r="B69" s="107"/>
      <c r="C69" s="107"/>
      <c r="D69" s="107"/>
      <c r="E69" s="107"/>
      <c r="F69" s="107"/>
      <c r="G69" s="107"/>
      <c r="H69" s="107"/>
      <c r="I69" s="107"/>
      <c r="J69" s="107"/>
      <c r="K69" s="107"/>
      <c r="L69" s="107"/>
      <c r="M69" s="107"/>
      <c r="N69" s="107"/>
      <c r="O69" s="79"/>
    </row>
    <row r="70" spans="1:15" x14ac:dyDescent="0.25">
      <c r="A70" s="78"/>
      <c r="B70" s="107"/>
      <c r="C70" s="107"/>
      <c r="D70" s="107"/>
      <c r="E70" s="107"/>
      <c r="F70" s="107"/>
      <c r="G70" s="107"/>
      <c r="H70" s="107"/>
      <c r="I70" s="107"/>
      <c r="J70" s="107"/>
      <c r="K70" s="107"/>
      <c r="L70" s="107"/>
      <c r="M70" s="107"/>
      <c r="N70" s="107"/>
      <c r="O70" s="79"/>
    </row>
    <row r="71" spans="1:15" x14ac:dyDescent="0.25">
      <c r="A71" s="78"/>
      <c r="B71" s="107"/>
      <c r="C71" s="107"/>
      <c r="D71" s="107"/>
      <c r="E71" s="107"/>
      <c r="F71" s="107"/>
      <c r="G71" s="107"/>
      <c r="H71" s="107"/>
      <c r="I71" s="107"/>
      <c r="J71" s="107"/>
      <c r="K71" s="107"/>
      <c r="L71" s="107"/>
      <c r="M71" s="107"/>
      <c r="N71" s="107"/>
      <c r="O71" s="79"/>
    </row>
    <row r="72" spans="1:15" x14ac:dyDescent="0.25">
      <c r="A72" s="78"/>
      <c r="B72" s="107"/>
      <c r="C72" s="107"/>
      <c r="D72" s="107"/>
      <c r="E72" s="107"/>
      <c r="F72" s="107"/>
      <c r="G72" s="107"/>
      <c r="H72" s="107"/>
      <c r="I72" s="107"/>
      <c r="J72" s="107"/>
      <c r="K72" s="107"/>
      <c r="L72" s="107"/>
      <c r="M72" s="107"/>
      <c r="N72" s="107"/>
      <c r="O72" s="79"/>
    </row>
    <row r="73" spans="1:15" x14ac:dyDescent="0.25">
      <c r="A73" s="78">
        <v>7</v>
      </c>
      <c r="B73" s="108" t="s">
        <v>172</v>
      </c>
      <c r="C73" s="108"/>
      <c r="D73" s="108"/>
      <c r="E73" s="108"/>
      <c r="F73" s="108"/>
      <c r="G73" s="108"/>
      <c r="H73" s="108"/>
      <c r="I73" s="108"/>
      <c r="J73" s="108"/>
      <c r="K73" s="108"/>
      <c r="L73" s="108"/>
      <c r="M73" s="108"/>
      <c r="N73" s="108"/>
      <c r="O73" s="79"/>
    </row>
    <row r="74" spans="1:15" x14ac:dyDescent="0.25">
      <c r="A74" s="78"/>
      <c r="B74" s="108"/>
      <c r="C74" s="108"/>
      <c r="D74" s="108"/>
      <c r="E74" s="108"/>
      <c r="F74" s="108"/>
      <c r="G74" s="108"/>
      <c r="H74" s="108"/>
      <c r="I74" s="108"/>
      <c r="J74" s="108"/>
      <c r="K74" s="108"/>
      <c r="L74" s="108"/>
      <c r="M74" s="108"/>
      <c r="N74" s="108"/>
      <c r="O74" s="79"/>
    </row>
    <row r="75" spans="1:15" x14ac:dyDescent="0.25">
      <c r="A75" s="78"/>
      <c r="B75" s="107"/>
      <c r="C75" s="107"/>
      <c r="D75" s="107"/>
      <c r="E75" s="107"/>
      <c r="F75" s="107"/>
      <c r="G75" s="107"/>
      <c r="H75" s="107"/>
      <c r="I75" s="107"/>
      <c r="J75" s="107"/>
      <c r="K75" s="107"/>
      <c r="L75" s="107"/>
      <c r="M75" s="107"/>
      <c r="N75" s="107"/>
      <c r="O75" s="79"/>
    </row>
    <row r="76" spans="1:15" x14ac:dyDescent="0.25">
      <c r="A76" s="78"/>
      <c r="B76" s="107"/>
      <c r="C76" s="107"/>
      <c r="D76" s="107"/>
      <c r="E76" s="107"/>
      <c r="F76" s="107"/>
      <c r="G76" s="107"/>
      <c r="H76" s="107"/>
      <c r="I76" s="107"/>
      <c r="J76" s="107"/>
      <c r="K76" s="107"/>
      <c r="L76" s="107"/>
      <c r="M76" s="107"/>
      <c r="N76" s="107"/>
      <c r="O76" s="79"/>
    </row>
    <row r="77" spans="1:15" x14ac:dyDescent="0.25">
      <c r="A77" s="78"/>
      <c r="B77" s="107"/>
      <c r="C77" s="107"/>
      <c r="D77" s="107"/>
      <c r="E77" s="107"/>
      <c r="F77" s="107"/>
      <c r="G77" s="107"/>
      <c r="H77" s="107"/>
      <c r="I77" s="107"/>
      <c r="J77" s="107"/>
      <c r="K77" s="107"/>
      <c r="L77" s="107"/>
      <c r="M77" s="107"/>
      <c r="N77" s="107"/>
      <c r="O77" s="79"/>
    </row>
    <row r="78" spans="1:15" x14ac:dyDescent="0.25">
      <c r="A78" s="78"/>
      <c r="B78" s="107"/>
      <c r="C78" s="107"/>
      <c r="D78" s="107"/>
      <c r="E78" s="107"/>
      <c r="F78" s="107"/>
      <c r="G78" s="107"/>
      <c r="H78" s="107"/>
      <c r="I78" s="107"/>
      <c r="J78" s="107"/>
      <c r="K78" s="107"/>
      <c r="L78" s="107"/>
      <c r="M78" s="107"/>
      <c r="N78" s="107"/>
      <c r="O78" s="79"/>
    </row>
    <row r="79" spans="1:15" x14ac:dyDescent="0.25">
      <c r="A79" s="78"/>
      <c r="B79" s="107"/>
      <c r="C79" s="107"/>
      <c r="D79" s="107"/>
      <c r="E79" s="107"/>
      <c r="F79" s="107"/>
      <c r="G79" s="107"/>
      <c r="H79" s="107"/>
      <c r="I79" s="107"/>
      <c r="J79" s="107"/>
      <c r="K79" s="107"/>
      <c r="L79" s="107"/>
      <c r="M79" s="107"/>
      <c r="N79" s="107"/>
      <c r="O79" s="79"/>
    </row>
    <row r="80" spans="1:15" x14ac:dyDescent="0.25">
      <c r="A80" s="78"/>
      <c r="B80" s="107"/>
      <c r="C80" s="107"/>
      <c r="D80" s="107"/>
      <c r="E80" s="107"/>
      <c r="F80" s="107"/>
      <c r="G80" s="107"/>
      <c r="H80" s="107"/>
      <c r="I80" s="107"/>
      <c r="J80" s="107"/>
      <c r="K80" s="107"/>
      <c r="L80" s="107"/>
      <c r="M80" s="107"/>
      <c r="N80" s="107"/>
      <c r="O80" s="79"/>
    </row>
    <row r="81" spans="1:15" x14ac:dyDescent="0.25">
      <c r="A81" s="78"/>
      <c r="B81" s="107"/>
      <c r="C81" s="107"/>
      <c r="D81" s="107"/>
      <c r="E81" s="107"/>
      <c r="F81" s="107"/>
      <c r="G81" s="107"/>
      <c r="H81" s="107"/>
      <c r="I81" s="107"/>
      <c r="J81" s="107"/>
      <c r="K81" s="107"/>
      <c r="L81" s="107"/>
      <c r="M81" s="107"/>
      <c r="N81" s="107"/>
      <c r="O81" s="79"/>
    </row>
    <row r="82" spans="1:15" x14ac:dyDescent="0.25">
      <c r="A82" s="78"/>
      <c r="B82" s="107"/>
      <c r="C82" s="107"/>
      <c r="D82" s="107"/>
      <c r="E82" s="107"/>
      <c r="F82" s="107"/>
      <c r="G82" s="107"/>
      <c r="H82" s="107"/>
      <c r="I82" s="107"/>
      <c r="J82" s="107"/>
      <c r="K82" s="107"/>
      <c r="L82" s="107"/>
      <c r="M82" s="107"/>
      <c r="N82" s="107"/>
      <c r="O82" s="79"/>
    </row>
    <row r="83" spans="1:15" x14ac:dyDescent="0.25">
      <c r="A83" s="78"/>
      <c r="B83" s="107"/>
      <c r="C83" s="107"/>
      <c r="D83" s="107"/>
      <c r="E83" s="107"/>
      <c r="F83" s="107"/>
      <c r="G83" s="107"/>
      <c r="H83" s="107"/>
      <c r="I83" s="107"/>
      <c r="J83" s="107"/>
      <c r="K83" s="107"/>
      <c r="L83" s="107"/>
      <c r="M83" s="107"/>
      <c r="N83" s="107"/>
      <c r="O83" s="79"/>
    </row>
    <row r="84" spans="1:15" ht="12" customHeight="1" x14ac:dyDescent="0.25">
      <c r="A84" s="78"/>
      <c r="B84" s="79"/>
      <c r="C84" s="79"/>
      <c r="D84" s="79"/>
      <c r="E84" s="79"/>
      <c r="F84" s="79"/>
      <c r="G84" s="79"/>
      <c r="H84" s="79"/>
      <c r="I84" s="79"/>
      <c r="J84" s="79"/>
      <c r="K84" s="79"/>
      <c r="L84" s="79"/>
      <c r="M84" s="79"/>
      <c r="N84" s="79"/>
      <c r="O84" s="79"/>
    </row>
  </sheetData>
  <mergeCells count="22">
    <mergeCell ref="B28:N29"/>
    <mergeCell ref="B2:N2"/>
    <mergeCell ref="B3:C3"/>
    <mergeCell ref="D3:G3"/>
    <mergeCell ref="I3:N3"/>
    <mergeCell ref="B4:C4"/>
    <mergeCell ref="D4:G4"/>
    <mergeCell ref="I4:N4"/>
    <mergeCell ref="B6:N7"/>
    <mergeCell ref="B8:N9"/>
    <mergeCell ref="B10:N17"/>
    <mergeCell ref="B18:N19"/>
    <mergeCell ref="B20:N27"/>
    <mergeCell ref="B64:N72"/>
    <mergeCell ref="B73:N74"/>
    <mergeCell ref="B75:N83"/>
    <mergeCell ref="B30:N37"/>
    <mergeCell ref="B38:N39"/>
    <mergeCell ref="B40:N49"/>
    <mergeCell ref="B50:N51"/>
    <mergeCell ref="B52:N61"/>
    <mergeCell ref="B62:N63"/>
  </mergeCells>
  <pageMargins left="0.70866141732283472" right="0.70866141732283472" top="0.74803149606299213" bottom="0.74803149606299213" header="0.31496062992125984" footer="0.31496062992125984"/>
  <pageSetup scale="72" fitToHeight="2" orientation="landscape" horizontalDpi="90" verticalDpi="90" r:id="rId1"/>
  <rowBreaks count="1" manualBreakCount="1">
    <brk id="27" max="16383" man="1"/>
  </rowBreaks>
  <colBreaks count="1" manualBreakCount="1">
    <brk id="15"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P27"/>
  <sheetViews>
    <sheetView showGridLines="0" zoomScale="90" zoomScaleNormal="90" workbookViewId="0">
      <pane xSplit="14" ySplit="15" topLeftCell="O18" activePane="bottomRight" state="frozen"/>
      <selection pane="topRight" activeCell="O1" sqref="O1"/>
      <selection pane="bottomLeft" activeCell="A16" sqref="A16"/>
      <selection pane="bottomRight" activeCell="E17" sqref="E17:M17"/>
    </sheetView>
  </sheetViews>
  <sheetFormatPr defaultColWidth="0" defaultRowHeight="13.8" zeroHeight="1" x14ac:dyDescent="0.3"/>
  <cols>
    <col min="1" max="1" width="1.5546875" style="3" customWidth="1"/>
    <col min="2" max="2" width="34.109375" style="3" customWidth="1"/>
    <col min="3" max="3" width="10.88671875" style="3" customWidth="1"/>
    <col min="4" max="4" width="15.88671875" style="3" customWidth="1"/>
    <col min="5" max="5" width="12.109375" style="3" customWidth="1"/>
    <col min="6" max="6" width="12.88671875" style="3" customWidth="1"/>
    <col min="7" max="7" width="13" style="3" customWidth="1"/>
    <col min="8" max="8" width="13.109375" style="3" customWidth="1"/>
    <col min="9" max="9" width="12" style="3" customWidth="1"/>
    <col min="10" max="10" width="11" style="3" customWidth="1"/>
    <col min="11" max="11" width="15" style="3" customWidth="1"/>
    <col min="12" max="12" width="1.88671875" style="3" customWidth="1"/>
    <col min="13" max="13" width="7.109375" style="3" bestFit="1" customWidth="1"/>
    <col min="14" max="14" width="9.109375" style="3" hidden="1" customWidth="1"/>
    <col min="15" max="15" width="3.109375" style="3" customWidth="1"/>
    <col min="16" max="16" width="1.109375" style="3" customWidth="1"/>
    <col min="17" max="16384" width="9.109375" style="3" hidden="1"/>
  </cols>
  <sheetData>
    <row r="1" spans="1:16" ht="7.5" customHeight="1" x14ac:dyDescent="0.3">
      <c r="A1" s="1"/>
      <c r="B1" s="2"/>
      <c r="C1" s="2"/>
      <c r="D1" s="2"/>
      <c r="E1" s="2"/>
      <c r="F1" s="2"/>
      <c r="G1" s="2"/>
      <c r="H1" s="2"/>
      <c r="I1" s="2"/>
      <c r="J1" s="2"/>
      <c r="K1" s="2"/>
      <c r="L1" s="2"/>
      <c r="M1" s="2"/>
      <c r="N1" s="2"/>
      <c r="O1" s="2"/>
      <c r="P1" s="2"/>
    </row>
    <row r="2" spans="1:16" s="4" customFormat="1" ht="12" customHeight="1" x14ac:dyDescent="0.25">
      <c r="A2" s="35">
        <v>2</v>
      </c>
      <c r="B2" s="116" t="s">
        <v>7</v>
      </c>
      <c r="C2" s="117" t="str">
        <f ca="1">IFERROR(INDIRECT(ADDRESS($A$2+1,$A$3,1,1,"Competencies")),"")</f>
        <v xml:space="preserve">Provide documentation to an appropriate level for the intended audience, taking into account that the audience may vary from developers to end users. Artifacts include Requirement (Use-Cases), Design, Architecture, Test Cases, End-User Documentation, Training material (including videos), Minutes of Meeting (MOM). </v>
      </c>
      <c r="D2" s="117"/>
      <c r="E2" s="117"/>
      <c r="F2" s="117"/>
      <c r="G2" s="117"/>
      <c r="H2" s="117"/>
      <c r="I2" s="117"/>
      <c r="J2" s="117"/>
      <c r="K2" s="117"/>
      <c r="L2" s="2"/>
      <c r="M2" s="2"/>
      <c r="N2" s="2"/>
      <c r="O2" s="2"/>
      <c r="P2" s="2"/>
    </row>
    <row r="3" spans="1:16" s="4" customFormat="1" ht="12" x14ac:dyDescent="0.25">
      <c r="A3" s="35">
        <f>IFERROR(MATCH($B$2,Competencies!$D$2:'Competencies'!$Q$2,0)+3,"")</f>
        <v>5</v>
      </c>
      <c r="B3" s="116"/>
      <c r="C3" s="117"/>
      <c r="D3" s="117"/>
      <c r="E3" s="117"/>
      <c r="F3" s="117"/>
      <c r="G3" s="117"/>
      <c r="H3" s="117"/>
      <c r="I3" s="117"/>
      <c r="J3" s="117"/>
      <c r="K3" s="117"/>
      <c r="L3" s="2"/>
      <c r="M3" s="2"/>
      <c r="N3" s="2"/>
      <c r="O3" s="2"/>
      <c r="P3" s="2"/>
    </row>
    <row r="4" spans="1:16" s="4" customFormat="1" ht="12" x14ac:dyDescent="0.25">
      <c r="A4" s="2"/>
      <c r="B4" s="36" t="s">
        <v>29</v>
      </c>
      <c r="C4" s="119" t="s">
        <v>30</v>
      </c>
      <c r="D4" s="119"/>
      <c r="E4" s="119"/>
      <c r="F4" s="119" t="s">
        <v>31</v>
      </c>
      <c r="G4" s="119"/>
      <c r="H4" s="119"/>
      <c r="I4" s="119" t="s">
        <v>32</v>
      </c>
      <c r="J4" s="119"/>
      <c r="K4" s="119"/>
      <c r="L4" s="2"/>
      <c r="M4" s="2"/>
      <c r="N4" s="2"/>
      <c r="O4" s="2"/>
      <c r="P4" s="2"/>
    </row>
    <row r="5" spans="1:16" s="4" customFormat="1" ht="21.75" customHeight="1" x14ac:dyDescent="0.25">
      <c r="A5" s="2"/>
      <c r="B5" s="123" t="str">
        <f ca="1">IFERROR(INDIRECT(ADDRESS($A$2+2,$A$3,1,1,"Competencies")),"")</f>
        <v xml:space="preserve">• Understands the purpose and the scope of documentation. 
• Identifies and provides proper contents for updating artifacts.
</v>
      </c>
      <c r="C5" s="118" t="str">
        <f ca="1">IFERROR(INDIRECT(ADDRESS($A$2+3,$A$3,1,1,"Competencies")),"")</f>
        <v xml:space="preserve">• Records the ideas, thoughts and strategies in a clear and precise manner. 
•  Is comfortable with standard tools required for generation of artifacts.
• Creates appropriate artifacts, for internal use as well as for customers.
</v>
      </c>
      <c r="D5" s="118"/>
      <c r="E5" s="118"/>
      <c r="F5" s="118" t="str">
        <f ca="1">IFERROR(INDIRECT(ADDRESS($A$2+4,$A$3,1,1,"Competencies")),"")</f>
        <v xml:space="preserve">• Helps to access and interpret information that is meaningful for decision-making. 
• Ensures accuracy and completeness of artifacts.
</v>
      </c>
      <c r="G5" s="118"/>
      <c r="H5" s="118"/>
      <c r="I5" s="118" t="str">
        <f ca="1">IFERROR(INDIRECT(ADDRESS($A$2+5,$A$3,1,1,"Competencies")),"")</f>
        <v xml:space="preserve">• Enables and supports with accurate information for business decision making and commercial success. 
• Keeps abreast with industry standard notations, tools for generation of artifacts.
</v>
      </c>
      <c r="J5" s="118"/>
      <c r="K5" s="118"/>
      <c r="L5" s="2"/>
      <c r="M5" s="2"/>
      <c r="N5" s="2"/>
      <c r="O5" s="2"/>
      <c r="P5" s="2"/>
    </row>
    <row r="6" spans="1:16" s="4" customFormat="1" ht="21.75" customHeight="1" x14ac:dyDescent="0.25">
      <c r="A6" s="2"/>
      <c r="B6" s="123"/>
      <c r="C6" s="118"/>
      <c r="D6" s="118"/>
      <c r="E6" s="118"/>
      <c r="F6" s="118"/>
      <c r="G6" s="118"/>
      <c r="H6" s="118"/>
      <c r="I6" s="118"/>
      <c r="J6" s="118"/>
      <c r="K6" s="118"/>
      <c r="L6" s="2"/>
      <c r="M6" s="2"/>
      <c r="N6" s="2"/>
      <c r="O6" s="2"/>
      <c r="P6" s="2"/>
    </row>
    <row r="7" spans="1:16" s="4" customFormat="1" ht="21.75" customHeight="1" x14ac:dyDescent="0.25">
      <c r="A7" s="2"/>
      <c r="B7" s="123"/>
      <c r="C7" s="118"/>
      <c r="D7" s="118"/>
      <c r="E7" s="118"/>
      <c r="F7" s="118"/>
      <c r="G7" s="118"/>
      <c r="H7" s="118"/>
      <c r="I7" s="118"/>
      <c r="J7" s="118"/>
      <c r="K7" s="118"/>
      <c r="L7" s="2"/>
      <c r="M7" s="2"/>
      <c r="N7" s="2"/>
      <c r="O7" s="2"/>
      <c r="P7" s="2"/>
    </row>
    <row r="8" spans="1:16" s="4" customFormat="1" ht="21.75" customHeight="1" x14ac:dyDescent="0.25">
      <c r="A8" s="2"/>
      <c r="B8" s="123"/>
      <c r="C8" s="118"/>
      <c r="D8" s="118"/>
      <c r="E8" s="118"/>
      <c r="F8" s="118"/>
      <c r="G8" s="118"/>
      <c r="H8" s="118"/>
      <c r="I8" s="118"/>
      <c r="J8" s="118"/>
      <c r="K8" s="118"/>
      <c r="L8" s="2"/>
      <c r="M8" s="2"/>
      <c r="N8" s="2"/>
      <c r="O8" s="2"/>
      <c r="P8" s="2"/>
    </row>
    <row r="9" spans="1:16" s="4" customFormat="1" ht="21.75" customHeight="1" x14ac:dyDescent="0.25">
      <c r="A9" s="2"/>
      <c r="B9" s="123"/>
      <c r="C9" s="118"/>
      <c r="D9" s="118"/>
      <c r="E9" s="118"/>
      <c r="F9" s="118"/>
      <c r="G9" s="118"/>
      <c r="H9" s="118"/>
      <c r="I9" s="118"/>
      <c r="J9" s="118"/>
      <c r="K9" s="118"/>
      <c r="L9" s="2"/>
      <c r="M9" s="2"/>
      <c r="N9" s="2"/>
      <c r="O9" s="2"/>
      <c r="P9" s="2"/>
    </row>
    <row r="10" spans="1:16" s="4" customFormat="1" ht="21.75" customHeight="1" x14ac:dyDescent="0.25">
      <c r="A10" s="2"/>
      <c r="B10" s="123"/>
      <c r="C10" s="118"/>
      <c r="D10" s="118"/>
      <c r="E10" s="118"/>
      <c r="F10" s="118"/>
      <c r="G10" s="118"/>
      <c r="H10" s="118"/>
      <c r="I10" s="118"/>
      <c r="J10" s="118"/>
      <c r="K10" s="118"/>
      <c r="L10" s="2"/>
      <c r="M10" s="2"/>
      <c r="N10" s="2"/>
      <c r="O10" s="2"/>
      <c r="P10" s="2"/>
    </row>
    <row r="11" spans="1:16" s="4" customFormat="1" ht="21.75" customHeight="1" x14ac:dyDescent="0.25">
      <c r="A11" s="2"/>
      <c r="B11" s="123"/>
      <c r="C11" s="118"/>
      <c r="D11" s="118"/>
      <c r="E11" s="118"/>
      <c r="F11" s="118"/>
      <c r="G11" s="118"/>
      <c r="H11" s="118"/>
      <c r="I11" s="118"/>
      <c r="J11" s="118"/>
      <c r="K11" s="118"/>
      <c r="L11" s="2"/>
      <c r="M11" s="2"/>
      <c r="N11" s="2"/>
      <c r="O11" s="2"/>
      <c r="P11" s="2"/>
    </row>
    <row r="12" spans="1:16" s="4" customFormat="1" ht="12.75" customHeight="1" x14ac:dyDescent="0.25">
      <c r="A12" s="2"/>
      <c r="B12" s="2"/>
      <c r="C12" s="2"/>
      <c r="D12" s="2"/>
      <c r="E12" s="2"/>
      <c r="F12" s="2"/>
      <c r="G12" s="2"/>
      <c r="H12" s="2"/>
      <c r="I12" s="2"/>
      <c r="J12" s="2"/>
      <c r="K12" s="2"/>
      <c r="L12" s="2"/>
      <c r="M12" s="2"/>
      <c r="N12" s="2"/>
      <c r="O12" s="2"/>
      <c r="P12" s="2"/>
    </row>
    <row r="13" spans="1:16" x14ac:dyDescent="0.3">
      <c r="A13" s="2"/>
      <c r="B13" s="124"/>
      <c r="C13" s="125"/>
      <c r="D13" s="125"/>
      <c r="E13" s="125"/>
      <c r="F13" s="125"/>
      <c r="G13" s="8" t="s">
        <v>86</v>
      </c>
      <c r="H13" s="9">
        <f>IFERROR(SUMPRODUCT(C16:C27, N16:N27),"")</f>
        <v>1.3000000000000003</v>
      </c>
      <c r="I13" s="8" t="s">
        <v>64</v>
      </c>
      <c r="J13" s="73" t="str">
        <f ca="1">IFERROR(VLOOKUP(H13,INDIRECT(ADDRESS(38,$N$13+1,,,"Guidance Sheet")):'Guidance Sheet'!$P$42,COUNTA(ScoreRatingMapping[#Headers])-$N$13+1,TRUE),"")</f>
        <v>EE</v>
      </c>
      <c r="K13" s="72" t="s">
        <v>163</v>
      </c>
      <c r="L13" s="114"/>
      <c r="M13" s="115"/>
      <c r="N13" s="1">
        <f>IFERROR(MATCH('Cover Sheet'!$D$6,ScoreRatingMapping[#Headers],0),"")</f>
        <v>1</v>
      </c>
      <c r="O13" s="2"/>
      <c r="P13" s="2"/>
    </row>
    <row r="14" spans="1:16" s="6" customFormat="1" ht="12" customHeight="1" x14ac:dyDescent="0.25">
      <c r="A14" s="7"/>
      <c r="B14" s="120" t="s">
        <v>111</v>
      </c>
      <c r="C14" s="122" t="s">
        <v>39</v>
      </c>
      <c r="D14" s="120" t="s">
        <v>64</v>
      </c>
      <c r="E14" s="126" t="s">
        <v>160</v>
      </c>
      <c r="F14" s="127"/>
      <c r="G14" s="127"/>
      <c r="H14" s="127"/>
      <c r="I14" s="127"/>
      <c r="J14" s="127"/>
      <c r="K14" s="127"/>
      <c r="L14" s="127"/>
      <c r="M14" s="128"/>
      <c r="N14" s="122" t="s">
        <v>40</v>
      </c>
      <c r="O14" s="2"/>
      <c r="P14" s="2"/>
    </row>
    <row r="15" spans="1:16" s="6" customFormat="1" ht="12" x14ac:dyDescent="0.25">
      <c r="A15" s="7"/>
      <c r="B15" s="121"/>
      <c r="C15" s="122"/>
      <c r="D15" s="121"/>
      <c r="E15" s="129"/>
      <c r="F15" s="130"/>
      <c r="G15" s="130"/>
      <c r="H15" s="130"/>
      <c r="I15" s="130"/>
      <c r="J15" s="130"/>
      <c r="K15" s="130"/>
      <c r="L15" s="130"/>
      <c r="M15" s="131"/>
      <c r="N15" s="122"/>
      <c r="O15" s="2"/>
      <c r="P15" s="2"/>
    </row>
    <row r="16" spans="1:16" ht="30" customHeight="1" x14ac:dyDescent="0.3">
      <c r="A16" s="74">
        <v>1</v>
      </c>
      <c r="B16" s="10" t="str">
        <f>IFERROR(HLOOKUP(Title,CompetencyMapping[#All],A16+1,FALSE),"")</f>
        <v>Programming</v>
      </c>
      <c r="C16" s="31">
        <f>IFERROR(VLOOKUP(B16,CompentencyWeightage[#All], MATCH(Title, 'Guidance Sheet'!$B$20:$O$20,FALSE)+1, 0),"")</f>
        <v>0.4</v>
      </c>
      <c r="D16" s="11" t="s">
        <v>29</v>
      </c>
      <c r="E16" s="132" t="s">
        <v>197</v>
      </c>
      <c r="F16" s="133"/>
      <c r="G16" s="133"/>
      <c r="H16" s="133"/>
      <c r="I16" s="133"/>
      <c r="J16" s="133"/>
      <c r="K16" s="133"/>
      <c r="L16" s="133"/>
      <c r="M16" s="134"/>
      <c r="N16" s="5">
        <f>IFERROR(VLOOKUP(D16,RatingScore[#All],2,FALSE),0)</f>
        <v>1</v>
      </c>
      <c r="O16" s="2"/>
      <c r="P16" s="2"/>
    </row>
    <row r="17" spans="1:16" ht="30" customHeight="1" x14ac:dyDescent="0.3">
      <c r="A17" s="74">
        <v>2</v>
      </c>
      <c r="B17" s="10" t="str">
        <f>IFERROR(HLOOKUP(Title,CompetencyMapping[#All],A17+1,FALSE),"")</f>
        <v>Documentation</v>
      </c>
      <c r="C17" s="31">
        <f>IFERROR(VLOOKUP(B17,CompentencyWeightage[#All], MATCH(Title, 'Guidance Sheet'!$B$20:$O$20,FALSE)+1, 0),"")</f>
        <v>0.1</v>
      </c>
      <c r="D17" s="11" t="s">
        <v>29</v>
      </c>
      <c r="E17" s="132" t="s">
        <v>193</v>
      </c>
      <c r="F17" s="133"/>
      <c r="G17" s="133"/>
      <c r="H17" s="133"/>
      <c r="I17" s="133"/>
      <c r="J17" s="133"/>
      <c r="K17" s="133"/>
      <c r="L17" s="133"/>
      <c r="M17" s="134"/>
      <c r="N17" s="5">
        <f>IFERROR(VLOOKUP(D17,RatingScore[#All],2,FALSE),0)</f>
        <v>1</v>
      </c>
      <c r="O17" s="2"/>
      <c r="P17" s="2"/>
    </row>
    <row r="18" spans="1:16" ht="30" customHeight="1" x14ac:dyDescent="0.3">
      <c r="A18" s="74">
        <v>3</v>
      </c>
      <c r="B18" s="10" t="str">
        <f>IFERROR(HLOOKUP(Title,CompetencyMapping[#All],A18+1,FALSE),"")</f>
        <v>Continuous Learning</v>
      </c>
      <c r="C18" s="31">
        <f>IFERROR(VLOOKUP(B18,CompentencyWeightage[#All], MATCH(Title, 'Guidance Sheet'!$B$20:$O$20,FALSE)+1, 0),"")</f>
        <v>0.15</v>
      </c>
      <c r="D18" s="11" t="s">
        <v>30</v>
      </c>
      <c r="E18" s="132" t="s">
        <v>198</v>
      </c>
      <c r="F18" s="133"/>
      <c r="G18" s="133"/>
      <c r="H18" s="133"/>
      <c r="I18" s="133"/>
      <c r="J18" s="133"/>
      <c r="K18" s="133"/>
      <c r="L18" s="133"/>
      <c r="M18" s="134"/>
      <c r="N18" s="5">
        <f>IFERROR(VLOOKUP(D18,RatingScore[#All],2,FALSE),0)</f>
        <v>2</v>
      </c>
      <c r="O18" s="2"/>
      <c r="P18" s="2"/>
    </row>
    <row r="19" spans="1:16" ht="30" customHeight="1" x14ac:dyDescent="0.3">
      <c r="A19" s="74">
        <v>4</v>
      </c>
      <c r="B19" s="10" t="str">
        <f>IFERROR(HLOOKUP(Title,CompetencyMapping[#All],A19+1,FALSE),"")</f>
        <v>Process Compliance</v>
      </c>
      <c r="C19" s="31">
        <f>IFERROR(VLOOKUP(B19,CompentencyWeightage[#All], MATCH(Title, 'Guidance Sheet'!$B$20:$O$20,FALSE)+1, 0),"")</f>
        <v>0.1</v>
      </c>
      <c r="D19" s="11" t="s">
        <v>29</v>
      </c>
      <c r="E19" s="132" t="s">
        <v>203</v>
      </c>
      <c r="F19" s="133"/>
      <c r="G19" s="133"/>
      <c r="H19" s="133"/>
      <c r="I19" s="133"/>
      <c r="J19" s="133"/>
      <c r="K19" s="133"/>
      <c r="L19" s="133"/>
      <c r="M19" s="134"/>
      <c r="N19" s="5">
        <f>IFERROR(VLOOKUP(D19,RatingScore[#All],2,FALSE),0)</f>
        <v>1</v>
      </c>
      <c r="O19" s="2"/>
      <c r="P19" s="2"/>
    </row>
    <row r="20" spans="1:16" ht="30" customHeight="1" x14ac:dyDescent="0.3">
      <c r="A20" s="74">
        <v>5</v>
      </c>
      <c r="B20" s="10" t="str">
        <f>IFERROR(HLOOKUP(Title,CompetencyMapping[#All],A20+1,FALSE),"")</f>
        <v>Analyzing &amp; Interpreting</v>
      </c>
      <c r="C20" s="31">
        <f>IFERROR(VLOOKUP(B20,CompentencyWeightage[#All], MATCH(Title, 'Guidance Sheet'!$B$20:$O$20,FALSE)+1, 0),"")</f>
        <v>0.1</v>
      </c>
      <c r="D20" s="11" t="s">
        <v>30</v>
      </c>
      <c r="E20" s="132" t="s">
        <v>194</v>
      </c>
      <c r="F20" s="133"/>
      <c r="G20" s="133"/>
      <c r="H20" s="133"/>
      <c r="I20" s="133"/>
      <c r="J20" s="133"/>
      <c r="K20" s="133"/>
      <c r="L20" s="133"/>
      <c r="M20" s="134"/>
      <c r="N20" s="5">
        <f>IFERROR(VLOOKUP(D20,RatingScore[#All],2,FALSE),0)</f>
        <v>2</v>
      </c>
      <c r="O20" s="2"/>
      <c r="P20" s="2"/>
    </row>
    <row r="21" spans="1:16" ht="40.799999999999997" customHeight="1" x14ac:dyDescent="0.3">
      <c r="A21" s="74">
        <v>6</v>
      </c>
      <c r="B21" s="10" t="str">
        <f>IFERROR(HLOOKUP(Title,CompetencyMapping[#All],A21+1,FALSE),"")</f>
        <v>Organizing &amp; Executing</v>
      </c>
      <c r="C21" s="31">
        <f>IFERROR(VLOOKUP(B21,CompentencyWeightage[#All], MATCH(Title, 'Guidance Sheet'!$B$20:$O$20,FALSE)+1, 0),"")</f>
        <v>0.05</v>
      </c>
      <c r="D21" s="11" t="s">
        <v>30</v>
      </c>
      <c r="E21" s="132" t="s">
        <v>195</v>
      </c>
      <c r="F21" s="133"/>
      <c r="G21" s="133"/>
      <c r="H21" s="133"/>
      <c r="I21" s="133"/>
      <c r="J21" s="133"/>
      <c r="K21" s="133"/>
      <c r="L21" s="133"/>
      <c r="M21" s="134"/>
      <c r="N21" s="5">
        <f>IFERROR(VLOOKUP(D21,RatingScore[#All],2,FALSE),0)</f>
        <v>2</v>
      </c>
      <c r="O21" s="2"/>
      <c r="P21" s="2"/>
    </row>
    <row r="22" spans="1:16" ht="30" customHeight="1" x14ac:dyDescent="0.3">
      <c r="A22" s="74">
        <v>7</v>
      </c>
      <c r="B22" s="10" t="str">
        <f>IFERROR(HLOOKUP(Title,CompetencyMapping[#All],A22+1,FALSE),"")</f>
        <v>Workplace Relationship Management</v>
      </c>
      <c r="C22" s="31">
        <f>IFERROR(VLOOKUP(B22,CompentencyWeightage[#All], MATCH(Title, 'Guidance Sheet'!$B$20:$O$20,FALSE)+1, 0),"")</f>
        <v>0.05</v>
      </c>
      <c r="D22" s="11" t="s">
        <v>29</v>
      </c>
      <c r="E22" s="132" t="s">
        <v>196</v>
      </c>
      <c r="F22" s="133"/>
      <c r="G22" s="133"/>
      <c r="H22" s="133"/>
      <c r="I22" s="133"/>
      <c r="J22" s="133"/>
      <c r="K22" s="133"/>
      <c r="L22" s="133"/>
      <c r="M22" s="134"/>
      <c r="N22" s="5">
        <f>IFERROR(VLOOKUP(D22,RatingScore[#All],2,FALSE),0)</f>
        <v>1</v>
      </c>
      <c r="O22" s="2"/>
      <c r="P22" s="2"/>
    </row>
    <row r="23" spans="1:16" ht="30" customHeight="1" x14ac:dyDescent="0.3">
      <c r="A23" s="74">
        <v>8</v>
      </c>
      <c r="B23" s="10" t="str">
        <f>IFERROR(HLOOKUP(Title,CompetencyMapping[#All],A23+1,FALSE),"")</f>
        <v>Effective Communication</v>
      </c>
      <c r="C23" s="31">
        <f>IFERROR(VLOOKUP(B23,CompentencyWeightage[#All], MATCH(Title, 'Guidance Sheet'!$B$20:$O$20,FALSE)+1, 0),"")</f>
        <v>0.05</v>
      </c>
      <c r="D23" s="11" t="s">
        <v>29</v>
      </c>
      <c r="E23" s="132" t="s">
        <v>192</v>
      </c>
      <c r="F23" s="133"/>
      <c r="G23" s="133"/>
      <c r="H23" s="133"/>
      <c r="I23" s="133"/>
      <c r="J23" s="133"/>
      <c r="K23" s="133"/>
      <c r="L23" s="133"/>
      <c r="M23" s="134"/>
      <c r="N23" s="5">
        <f>IFERROR(VLOOKUP(D23,RatingScore[#All],2,FALSE),0)</f>
        <v>1</v>
      </c>
      <c r="O23" s="2"/>
      <c r="P23" s="2"/>
    </row>
    <row r="24" spans="1:16" ht="30" hidden="1" customHeight="1" x14ac:dyDescent="0.3">
      <c r="A24" s="74">
        <v>9</v>
      </c>
      <c r="B24" s="77">
        <f>IFERROR(HLOOKUP(Title,CompetencyMapping[#All],A24+1,FALSE),"")</f>
        <v>0</v>
      </c>
      <c r="C24" s="31" t="str">
        <f>IFERROR(VLOOKUP(B24,CompentencyWeightage[#All], MATCH(Title, 'Guidance Sheet'!$B$20:$O$20,FALSE)+1, 0),"")</f>
        <v/>
      </c>
      <c r="D24" s="11"/>
      <c r="E24" s="132"/>
      <c r="F24" s="133"/>
      <c r="G24" s="133"/>
      <c r="H24" s="133"/>
      <c r="I24" s="133"/>
      <c r="J24" s="133"/>
      <c r="K24" s="133"/>
      <c r="L24" s="133"/>
      <c r="M24" s="134"/>
      <c r="N24" s="5">
        <f>IFERROR(VLOOKUP(D24,RatingScore[#All],2,FALSE),0)</f>
        <v>0</v>
      </c>
      <c r="O24" s="2"/>
      <c r="P24" s="2"/>
    </row>
    <row r="25" spans="1:16" ht="30" hidden="1" customHeight="1" x14ac:dyDescent="0.3">
      <c r="A25" s="74">
        <v>10</v>
      </c>
      <c r="B25" s="10" t="str">
        <f>IFERROR(HLOOKUP(Title,CompetencyMapping[#All],A25+1,FALSE),"")</f>
        <v xml:space="preserve"> </v>
      </c>
      <c r="C25" s="31" t="str">
        <f>IFERROR(VLOOKUP(B25,CompentencyWeightage[#All], MATCH(Title, 'Guidance Sheet'!$B$20:$O$20,FALSE)+1, 0),"")</f>
        <v/>
      </c>
      <c r="D25" s="11"/>
      <c r="E25" s="132"/>
      <c r="F25" s="133"/>
      <c r="G25" s="133"/>
      <c r="H25" s="133"/>
      <c r="I25" s="133"/>
      <c r="J25" s="133"/>
      <c r="K25" s="133"/>
      <c r="L25" s="133"/>
      <c r="M25" s="134"/>
      <c r="N25" s="5">
        <f>IFERROR(VLOOKUP(D25,RatingScore[#All],2,FALSE),0)</f>
        <v>0</v>
      </c>
      <c r="O25" s="2"/>
      <c r="P25" s="2"/>
    </row>
    <row r="26" spans="1:16" ht="30" hidden="1" customHeight="1" x14ac:dyDescent="0.3">
      <c r="A26" s="74">
        <v>11</v>
      </c>
      <c r="B26" s="10" t="str">
        <f>IFERROR(HLOOKUP(Title,CompetencyMapping[#All],A26+1,FALSE),"")</f>
        <v xml:space="preserve"> </v>
      </c>
      <c r="C26" s="31" t="str">
        <f>IFERROR(VLOOKUP(B26,CompentencyWeightage[#All], MATCH(Title, 'Guidance Sheet'!$B$20:$O$20,FALSE)+1, 0),"")</f>
        <v/>
      </c>
      <c r="D26" s="11"/>
      <c r="E26" s="132"/>
      <c r="F26" s="133"/>
      <c r="G26" s="133"/>
      <c r="H26" s="133"/>
      <c r="I26" s="133"/>
      <c r="J26" s="133"/>
      <c r="K26" s="133"/>
      <c r="L26" s="133"/>
      <c r="M26" s="134"/>
      <c r="N26" s="5">
        <f>IFERROR(VLOOKUP(D26,RatingScore[#All],2,FALSE),0)</f>
        <v>0</v>
      </c>
      <c r="O26" s="2"/>
      <c r="P26" s="2"/>
    </row>
    <row r="27" spans="1:16" x14ac:dyDescent="0.3">
      <c r="A27" s="2"/>
      <c r="B27" s="2"/>
      <c r="C27" s="2"/>
      <c r="D27" s="2"/>
      <c r="E27" s="2"/>
      <c r="F27" s="2"/>
      <c r="G27" s="2"/>
      <c r="H27" s="2"/>
      <c r="I27" s="2"/>
      <c r="J27" s="2"/>
      <c r="K27" s="2"/>
      <c r="L27" s="2"/>
      <c r="M27" s="2"/>
      <c r="N27" s="2"/>
      <c r="O27" s="2"/>
      <c r="P27" s="2"/>
    </row>
  </sheetData>
  <sheetProtection algorithmName="SHA-512" hashValue="/57SHP5g1EtKiexhmmytYTJavq+nfVL0IBNbMqmF/MtV2/leHl28IzL+oFUjh6hPGc2WO3QM/rupRzg83xhZ0Q==" saltValue="X+L7Ofbz6/ttRxIfOsKIIA==" spinCount="100000" sheet="1" objects="1" scenarios="1" formatCells="0" formatColumns="0" formatRows="0" selectLockedCells="1"/>
  <dataConsolidate link="1"/>
  <mergeCells count="27">
    <mergeCell ref="N14:N15"/>
    <mergeCell ref="E14:M15"/>
    <mergeCell ref="E16:M16"/>
    <mergeCell ref="E17:M17"/>
    <mergeCell ref="E26:M26"/>
    <mergeCell ref="E24:M24"/>
    <mergeCell ref="E18:M18"/>
    <mergeCell ref="E19:M19"/>
    <mergeCell ref="E20:M20"/>
    <mergeCell ref="E21:M21"/>
    <mergeCell ref="E22:M22"/>
    <mergeCell ref="E23:M23"/>
    <mergeCell ref="E25:M25"/>
    <mergeCell ref="B14:B15"/>
    <mergeCell ref="C14:C15"/>
    <mergeCell ref="D14:D15"/>
    <mergeCell ref="B5:B11"/>
    <mergeCell ref="C5:E11"/>
    <mergeCell ref="B13:F13"/>
    <mergeCell ref="L13:M13"/>
    <mergeCell ref="B2:B3"/>
    <mergeCell ref="C2:K3"/>
    <mergeCell ref="I5:K11"/>
    <mergeCell ref="C4:E4"/>
    <mergeCell ref="F4:H4"/>
    <mergeCell ref="I4:K4"/>
    <mergeCell ref="F5:H11"/>
  </mergeCells>
  <pageMargins left="0.7" right="0.7" top="0.75" bottom="0.75" header="0.3" footer="0.3"/>
  <pageSetup paperSize="9" scale="81" orientation="landscape" r:id="rId1"/>
  <headerFooter>
    <oddHeader>&amp;LVistaar Systems Pvt. Ltd.&amp;R&amp;A</oddHeader>
    <oddFooter>&amp;LConfidential&amp;RPage  &amp;P</oddFoot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'Guidance Sheet'!$D$13:$D$17</xm:f>
          </x14:formula1>
          <xm:sqref>D16:D26</xm:sqref>
        </x14:dataValidation>
        <x14:dataValidation type="list" allowBlank="1" showInputMessage="1" showErrorMessage="1" xr:uid="{00000000-0002-0000-0200-000001000000}">
          <x14:formula1>
            <xm:f>'Guidance Sheet'!$P$39:$P$42</xm:f>
          </x14:formula1>
          <xm:sqref>L13:M13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B1:Q7"/>
  <sheetViews>
    <sheetView showGridLines="0" workbookViewId="0">
      <selection activeCell="D4" sqref="D4"/>
    </sheetView>
  </sheetViews>
  <sheetFormatPr defaultRowHeight="14.4" x14ac:dyDescent="0.3"/>
  <cols>
    <col min="1" max="1" width="1.88671875" customWidth="1"/>
    <col min="2" max="2" width="3.109375" customWidth="1"/>
    <col min="3" max="3" width="11" bestFit="1" customWidth="1"/>
    <col min="4" max="5" width="40.5546875" bestFit="1" customWidth="1"/>
    <col min="6" max="6" width="40.109375" bestFit="1" customWidth="1"/>
    <col min="7" max="8" width="40.88671875" customWidth="1"/>
    <col min="9" max="9" width="39.109375" bestFit="1" customWidth="1"/>
    <col min="10" max="10" width="40.109375" bestFit="1" customWidth="1"/>
    <col min="11" max="11" width="40.88671875" customWidth="1"/>
    <col min="12" max="21" width="31.109375" customWidth="1"/>
  </cols>
  <sheetData>
    <row r="1" spans="2:17" ht="15.6" x14ac:dyDescent="0.3">
      <c r="B1" s="70"/>
      <c r="C1" s="70"/>
      <c r="D1" s="70"/>
      <c r="E1" s="70"/>
      <c r="F1" s="70"/>
      <c r="G1" s="70"/>
      <c r="H1" s="70"/>
      <c r="I1" s="70"/>
      <c r="J1" s="70"/>
      <c r="K1" s="70"/>
    </row>
    <row r="2" spans="2:17" ht="15.6" x14ac:dyDescent="0.3">
      <c r="B2" s="14">
        <f>ROW()</f>
        <v>2</v>
      </c>
      <c r="C2" s="13" t="s">
        <v>61</v>
      </c>
      <c r="D2" s="71" t="s">
        <v>6</v>
      </c>
      <c r="E2" s="71" t="s">
        <v>7</v>
      </c>
      <c r="F2" s="71" t="s">
        <v>8</v>
      </c>
      <c r="G2" s="71" t="s">
        <v>9</v>
      </c>
      <c r="H2" s="71" t="s">
        <v>11</v>
      </c>
      <c r="I2" s="71" t="s">
        <v>12</v>
      </c>
      <c r="J2" s="71" t="s">
        <v>10</v>
      </c>
      <c r="K2" s="71" t="s">
        <v>13</v>
      </c>
      <c r="L2" s="71" t="s">
        <v>69</v>
      </c>
      <c r="M2" s="71" t="s">
        <v>70</v>
      </c>
      <c r="N2" s="71" t="s">
        <v>149</v>
      </c>
      <c r="O2" s="71" t="s">
        <v>71</v>
      </c>
      <c r="P2" s="71" t="s">
        <v>98</v>
      </c>
      <c r="Q2" s="71" t="s">
        <v>99</v>
      </c>
    </row>
    <row r="3" spans="2:17" ht="158.25" customHeight="1" x14ac:dyDescent="0.3">
      <c r="B3" s="37">
        <f>ROW()</f>
        <v>3</v>
      </c>
      <c r="C3" s="38" t="s">
        <v>60</v>
      </c>
      <c r="D3" s="69" t="s">
        <v>14</v>
      </c>
      <c r="E3" s="69" t="s">
        <v>15</v>
      </c>
      <c r="F3" s="69" t="s">
        <v>16</v>
      </c>
      <c r="G3" s="69" t="s">
        <v>17</v>
      </c>
      <c r="H3" s="69" t="s">
        <v>19</v>
      </c>
      <c r="I3" s="69" t="s">
        <v>20</v>
      </c>
      <c r="J3" s="69" t="s">
        <v>18</v>
      </c>
      <c r="K3" s="69" t="s">
        <v>21</v>
      </c>
      <c r="L3" s="33" t="s">
        <v>72</v>
      </c>
      <c r="M3" s="33" t="s">
        <v>73</v>
      </c>
      <c r="N3" s="33" t="s">
        <v>74</v>
      </c>
      <c r="O3" s="33" t="s">
        <v>75</v>
      </c>
      <c r="P3" s="15" t="s">
        <v>100</v>
      </c>
      <c r="Q3" s="15" t="s">
        <v>150</v>
      </c>
    </row>
    <row r="4" spans="2:17" ht="125.25" customHeight="1" x14ac:dyDescent="0.3">
      <c r="B4" s="14">
        <f>ROW()</f>
        <v>4</v>
      </c>
      <c r="C4" s="13" t="s">
        <v>29</v>
      </c>
      <c r="D4" s="12" t="s">
        <v>112</v>
      </c>
      <c r="E4" s="12" t="s">
        <v>115</v>
      </c>
      <c r="F4" s="12" t="s">
        <v>119</v>
      </c>
      <c r="G4" s="12" t="s">
        <v>123</v>
      </c>
      <c r="H4" s="12" t="s">
        <v>126</v>
      </c>
      <c r="I4" s="12" t="s">
        <v>130</v>
      </c>
      <c r="J4" s="12" t="s">
        <v>133</v>
      </c>
      <c r="K4" s="12" t="s">
        <v>37</v>
      </c>
      <c r="L4" s="34" t="s">
        <v>76</v>
      </c>
      <c r="M4" s="34" t="s">
        <v>77</v>
      </c>
      <c r="N4" s="34" t="s">
        <v>137</v>
      </c>
      <c r="O4" s="34" t="s">
        <v>142</v>
      </c>
      <c r="P4" s="12" t="s">
        <v>101</v>
      </c>
      <c r="Q4" s="12" t="s">
        <v>152</v>
      </c>
    </row>
    <row r="5" spans="2:17" ht="157.5" customHeight="1" x14ac:dyDescent="0.3">
      <c r="B5" s="14">
        <f>ROW()</f>
        <v>5</v>
      </c>
      <c r="C5" s="13" t="s">
        <v>30</v>
      </c>
      <c r="D5" s="12" t="s">
        <v>113</v>
      </c>
      <c r="E5" s="12" t="s">
        <v>116</v>
      </c>
      <c r="F5" s="12" t="s">
        <v>120</v>
      </c>
      <c r="G5" s="12" t="s">
        <v>124</v>
      </c>
      <c r="H5" s="12" t="s">
        <v>127</v>
      </c>
      <c r="I5" s="12" t="s">
        <v>131</v>
      </c>
      <c r="J5" s="12" t="s">
        <v>35</v>
      </c>
      <c r="K5" s="12" t="s">
        <v>38</v>
      </c>
      <c r="L5" s="34" t="s">
        <v>140</v>
      </c>
      <c r="M5" s="34" t="s">
        <v>139</v>
      </c>
      <c r="N5" s="34" t="s">
        <v>138</v>
      </c>
      <c r="O5" s="34" t="s">
        <v>143</v>
      </c>
      <c r="P5" s="12" t="s">
        <v>151</v>
      </c>
      <c r="Q5" s="12" t="s">
        <v>153</v>
      </c>
    </row>
    <row r="6" spans="2:17" ht="182.25" customHeight="1" x14ac:dyDescent="0.3">
      <c r="B6" s="14">
        <f>ROW()</f>
        <v>6</v>
      </c>
      <c r="C6" s="13" t="s">
        <v>31</v>
      </c>
      <c r="D6" s="12" t="s">
        <v>114</v>
      </c>
      <c r="E6" s="12" t="s">
        <v>117</v>
      </c>
      <c r="F6" s="12" t="s">
        <v>121</v>
      </c>
      <c r="G6" s="12" t="s">
        <v>125</v>
      </c>
      <c r="H6" s="12" t="s">
        <v>128</v>
      </c>
      <c r="I6" s="12" t="s">
        <v>132</v>
      </c>
      <c r="J6" s="12" t="s">
        <v>148</v>
      </c>
      <c r="K6" s="12" t="s">
        <v>135</v>
      </c>
      <c r="L6" s="34" t="s">
        <v>78</v>
      </c>
      <c r="M6" s="34" t="s">
        <v>79</v>
      </c>
      <c r="N6" s="34" t="s">
        <v>80</v>
      </c>
      <c r="O6" s="34" t="s">
        <v>144</v>
      </c>
      <c r="P6" s="12" t="s">
        <v>146</v>
      </c>
      <c r="Q6" s="12" t="s">
        <v>154</v>
      </c>
    </row>
    <row r="7" spans="2:17" ht="211.5" customHeight="1" x14ac:dyDescent="0.3">
      <c r="B7" s="14">
        <f>ROW()</f>
        <v>7</v>
      </c>
      <c r="C7" s="13" t="s">
        <v>32</v>
      </c>
      <c r="D7" s="12" t="s">
        <v>33</v>
      </c>
      <c r="E7" s="12" t="s">
        <v>118</v>
      </c>
      <c r="F7" s="12" t="s">
        <v>122</v>
      </c>
      <c r="G7" s="12" t="s">
        <v>34</v>
      </c>
      <c r="H7" s="12" t="s">
        <v>129</v>
      </c>
      <c r="I7" s="12" t="s">
        <v>36</v>
      </c>
      <c r="J7" s="12" t="s">
        <v>134</v>
      </c>
      <c r="K7" s="12" t="s">
        <v>136</v>
      </c>
      <c r="L7" s="34" t="s">
        <v>141</v>
      </c>
      <c r="M7" s="34" t="s">
        <v>81</v>
      </c>
      <c r="N7" s="34" t="s">
        <v>82</v>
      </c>
      <c r="O7" s="34" t="s">
        <v>145</v>
      </c>
      <c r="P7" s="12" t="s">
        <v>147</v>
      </c>
      <c r="Q7" s="12" t="s">
        <v>155</v>
      </c>
    </row>
  </sheetData>
  <pageMargins left="0.70866141732283472" right="0.70866141732283472" top="0.74803149606299213" bottom="0.74803149606299213" header="0.31496062992125984" footer="0.31496062992125984"/>
  <pageSetup paperSize="9" scale="61" fitToWidth="6" fitToHeight="6"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Z66"/>
  <sheetViews>
    <sheetView showGridLines="0" topLeftCell="A19" zoomScale="80" zoomScaleNormal="80" workbookViewId="0">
      <pane xSplit="1" ySplit="2" topLeftCell="H21" activePane="bottomRight" state="frozen"/>
      <selection activeCell="A19" sqref="A19"/>
      <selection pane="topRight" activeCell="B19" sqref="B19"/>
      <selection pane="bottomLeft" activeCell="A21" sqref="A21"/>
      <selection pane="bottomRight" activeCell="K26" sqref="K26"/>
    </sheetView>
  </sheetViews>
  <sheetFormatPr defaultColWidth="9.109375" defaultRowHeight="14.4" x14ac:dyDescent="0.3"/>
  <cols>
    <col min="1" max="1" width="34.109375" style="16" customWidth="1"/>
    <col min="2" max="15" width="23.109375" style="16" customWidth="1"/>
    <col min="16" max="18" width="9.109375" style="16"/>
    <col min="19" max="19" width="9.5546875" style="16" customWidth="1"/>
    <col min="20" max="20" width="22.109375" style="16" customWidth="1"/>
    <col min="21" max="21" width="23" style="16" customWidth="1"/>
    <col min="22" max="25" width="22.88671875" style="16" customWidth="1"/>
    <col min="26" max="27" width="23.109375" style="16" customWidth="1"/>
    <col min="28" max="28" width="18.88671875" style="16" customWidth="1"/>
    <col min="29" max="29" width="19" style="16" customWidth="1"/>
    <col min="30" max="30" width="19.109375" style="16" customWidth="1"/>
    <col min="31" max="16384" width="9.109375" style="16"/>
  </cols>
  <sheetData>
    <row r="1" spans="1:26" x14ac:dyDescent="0.3">
      <c r="A1" s="25" t="s">
        <v>48</v>
      </c>
      <c r="B1" s="26"/>
      <c r="C1" s="26"/>
      <c r="D1" s="26"/>
      <c r="E1" s="26"/>
      <c r="F1" s="26"/>
      <c r="G1" s="26"/>
      <c r="H1" s="26"/>
      <c r="I1" s="26"/>
      <c r="J1" s="26"/>
      <c r="K1" s="26"/>
      <c r="L1" s="26"/>
      <c r="M1" s="26"/>
      <c r="N1" s="26"/>
      <c r="O1" s="26"/>
      <c r="P1" s="26"/>
      <c r="Q1" s="28"/>
      <c r="R1" s="28"/>
      <c r="S1" s="28"/>
    </row>
    <row r="2" spans="1:26" ht="15.75" customHeight="1" x14ac:dyDescent="0.3">
      <c r="A2" s="50" t="s">
        <v>62</v>
      </c>
      <c r="B2" s="51"/>
      <c r="C2" s="51"/>
      <c r="D2" s="51"/>
      <c r="E2" s="51"/>
      <c r="F2" s="51"/>
      <c r="G2" s="51"/>
      <c r="H2" s="51"/>
      <c r="K2" s="45"/>
      <c r="O2" s="45"/>
      <c r="P2" s="45"/>
      <c r="Q2" s="45"/>
      <c r="R2" s="45"/>
      <c r="S2" s="45"/>
      <c r="V2" s="17"/>
      <c r="W2" s="17"/>
      <c r="X2" s="17"/>
      <c r="Y2" s="17"/>
      <c r="Z2" s="17"/>
    </row>
    <row r="3" spans="1:26" ht="15" customHeight="1" x14ac:dyDescent="0.3">
      <c r="A3" s="50" t="s">
        <v>63</v>
      </c>
      <c r="B3" s="51"/>
      <c r="C3" s="51"/>
      <c r="D3" s="51"/>
      <c r="E3" s="51"/>
      <c r="F3" s="51"/>
      <c r="G3" s="51"/>
      <c r="H3" s="51"/>
      <c r="K3" s="45"/>
      <c r="O3" s="45"/>
      <c r="P3" s="45"/>
      <c r="Q3" s="45"/>
      <c r="R3" s="45"/>
      <c r="S3" s="45"/>
      <c r="V3" s="17"/>
      <c r="W3" s="17"/>
      <c r="X3" s="17"/>
      <c r="Y3" s="17"/>
      <c r="Z3" s="17"/>
    </row>
    <row r="4" spans="1:26" ht="15" customHeight="1" x14ac:dyDescent="0.3">
      <c r="A4" s="27" t="s">
        <v>50</v>
      </c>
      <c r="K4" s="45"/>
      <c r="O4" s="45"/>
      <c r="P4" s="45"/>
      <c r="Q4" s="135"/>
      <c r="R4" s="135"/>
      <c r="S4" s="135"/>
    </row>
    <row r="5" spans="1:26" x14ac:dyDescent="0.3">
      <c r="A5" s="44"/>
      <c r="B5" s="45"/>
      <c r="C5" s="45"/>
      <c r="D5" s="45"/>
      <c r="E5" s="45"/>
      <c r="F5" s="45"/>
      <c r="G5" s="45"/>
      <c r="H5" s="45"/>
      <c r="K5" s="45"/>
      <c r="O5" s="45"/>
      <c r="P5" s="45"/>
      <c r="Q5" s="45"/>
      <c r="R5" s="45"/>
      <c r="S5" s="45"/>
    </row>
    <row r="6" spans="1:26" x14ac:dyDescent="0.3">
      <c r="A6" s="29" t="s">
        <v>49</v>
      </c>
      <c r="B6" s="28"/>
      <c r="C6" s="28"/>
      <c r="D6" s="28"/>
      <c r="E6" s="28"/>
      <c r="F6" s="28"/>
      <c r="G6" s="28"/>
      <c r="H6" s="28"/>
      <c r="K6" s="28"/>
      <c r="O6" s="28"/>
      <c r="P6" s="28"/>
      <c r="Q6" s="28"/>
      <c r="R6" s="28"/>
      <c r="S6" s="28"/>
    </row>
    <row r="7" spans="1:26" x14ac:dyDescent="0.3">
      <c r="A7" s="27" t="s">
        <v>51</v>
      </c>
      <c r="B7" s="28"/>
      <c r="C7" s="28"/>
      <c r="D7" s="28"/>
      <c r="E7" s="28"/>
      <c r="H7" s="28"/>
      <c r="K7" s="28"/>
      <c r="O7" s="28"/>
      <c r="P7" s="28"/>
      <c r="Q7" s="28"/>
      <c r="R7" s="28"/>
      <c r="S7" s="28"/>
    </row>
    <row r="8" spans="1:26" x14ac:dyDescent="0.3">
      <c r="A8" s="51" t="s">
        <v>66</v>
      </c>
      <c r="B8" s="51"/>
      <c r="C8" s="51"/>
      <c r="D8" s="51"/>
      <c r="E8" s="51"/>
      <c r="G8" s="47" t="s">
        <v>90</v>
      </c>
      <c r="H8" s="51"/>
      <c r="J8" s="28"/>
      <c r="K8" s="28"/>
      <c r="M8" s="28"/>
      <c r="N8" s="28"/>
      <c r="O8" s="28"/>
      <c r="P8" s="28"/>
      <c r="Q8" s="28"/>
      <c r="R8" s="28"/>
      <c r="S8" s="28"/>
    </row>
    <row r="9" spans="1:26" ht="15" customHeight="1" x14ac:dyDescent="0.3">
      <c r="A9" s="51" t="s">
        <v>67</v>
      </c>
      <c r="B9" s="51"/>
      <c r="C9" s="51"/>
      <c r="D9" s="51"/>
      <c r="E9" s="51"/>
      <c r="G9" s="39" t="s">
        <v>91</v>
      </c>
      <c r="H9" s="51"/>
      <c r="J9" s="45"/>
      <c r="K9" s="45"/>
      <c r="M9" s="45"/>
      <c r="N9" s="45"/>
      <c r="O9" s="45"/>
      <c r="P9" s="45"/>
      <c r="Q9" s="135"/>
      <c r="R9" s="135"/>
      <c r="S9" s="135"/>
    </row>
    <row r="10" spans="1:26" ht="15" customHeight="1" x14ac:dyDescent="0.3">
      <c r="G10" s="39" t="s">
        <v>97</v>
      </c>
      <c r="J10" s="45"/>
      <c r="K10" s="45"/>
      <c r="L10" s="45"/>
      <c r="M10" s="45"/>
      <c r="N10" s="45"/>
      <c r="O10" s="45"/>
      <c r="P10" s="45"/>
      <c r="Q10" s="135"/>
      <c r="R10" s="135"/>
      <c r="S10" s="135"/>
    </row>
    <row r="11" spans="1:26" ht="15" customHeight="1" x14ac:dyDescent="0.3">
      <c r="A11" s="29" t="s">
        <v>53</v>
      </c>
      <c r="G11" s="39" t="s">
        <v>95</v>
      </c>
      <c r="J11" s="45"/>
      <c r="K11" s="45"/>
      <c r="L11" s="45"/>
      <c r="M11" s="45"/>
      <c r="N11" s="45"/>
      <c r="O11" s="45"/>
      <c r="P11" s="45"/>
      <c r="Q11" s="45"/>
      <c r="R11" s="45"/>
      <c r="S11" s="45"/>
    </row>
    <row r="12" spans="1:26" ht="15" customHeight="1" x14ac:dyDescent="0.3">
      <c r="A12" s="27" t="s">
        <v>54</v>
      </c>
      <c r="D12" s="48" t="s">
        <v>64</v>
      </c>
      <c r="E12" s="48" t="s">
        <v>86</v>
      </c>
      <c r="G12" s="39" t="s">
        <v>92</v>
      </c>
      <c r="J12" s="45"/>
      <c r="K12" s="45"/>
      <c r="L12" s="45"/>
      <c r="M12" s="45"/>
      <c r="N12" s="45"/>
      <c r="O12" s="45"/>
      <c r="P12" s="45"/>
      <c r="Q12" s="45"/>
      <c r="R12" s="45"/>
      <c r="S12" s="45"/>
    </row>
    <row r="13" spans="1:26" ht="15" customHeight="1" x14ac:dyDescent="0.3">
      <c r="A13" s="27" t="s">
        <v>55</v>
      </c>
      <c r="D13" s="17" t="s">
        <v>87</v>
      </c>
      <c r="E13" s="49">
        <v>0</v>
      </c>
      <c r="G13" s="39" t="s">
        <v>94</v>
      </c>
      <c r="J13" s="45"/>
      <c r="K13" s="45"/>
      <c r="L13" s="45"/>
      <c r="M13" s="45"/>
      <c r="N13" s="45"/>
      <c r="O13" s="45"/>
      <c r="P13" s="45"/>
      <c r="Q13" s="45"/>
      <c r="R13" s="45"/>
      <c r="S13" s="45"/>
    </row>
    <row r="14" spans="1:26" ht="15" customHeight="1" x14ac:dyDescent="0.3">
      <c r="A14" s="27" t="s">
        <v>56</v>
      </c>
      <c r="D14" s="16" t="s">
        <v>29</v>
      </c>
      <c r="E14" s="39">
        <v>1</v>
      </c>
      <c r="G14" s="39" t="s">
        <v>93</v>
      </c>
      <c r="J14" s="45"/>
      <c r="K14" s="45"/>
      <c r="L14" s="45"/>
      <c r="M14" s="45"/>
      <c r="N14" s="45"/>
      <c r="O14" s="45"/>
      <c r="P14" s="45"/>
      <c r="Q14" s="45"/>
      <c r="R14" s="45"/>
      <c r="S14" s="45"/>
    </row>
    <row r="15" spans="1:26" ht="15" customHeight="1" x14ac:dyDescent="0.3">
      <c r="A15" s="27" t="s">
        <v>57</v>
      </c>
      <c r="D15" s="16" t="s">
        <v>30</v>
      </c>
      <c r="E15" s="39">
        <v>2</v>
      </c>
      <c r="G15" s="39" t="s">
        <v>96</v>
      </c>
      <c r="I15" s="45"/>
      <c r="J15" s="45"/>
      <c r="K15" s="45"/>
      <c r="L15" s="45"/>
      <c r="M15" s="45"/>
      <c r="N15" s="45"/>
      <c r="O15" s="45"/>
      <c r="P15" s="45"/>
      <c r="Q15" s="45"/>
      <c r="R15" s="45"/>
      <c r="S15" s="45"/>
    </row>
    <row r="16" spans="1:26" ht="15" customHeight="1" x14ac:dyDescent="0.3">
      <c r="A16" s="27" t="s">
        <v>58</v>
      </c>
      <c r="D16" s="16" t="s">
        <v>31</v>
      </c>
      <c r="E16" s="39">
        <v>3</v>
      </c>
      <c r="G16" s="39" t="s">
        <v>109</v>
      </c>
      <c r="I16" s="45"/>
      <c r="J16" s="45"/>
      <c r="K16" s="45"/>
      <c r="L16" s="45"/>
      <c r="M16" s="45"/>
      <c r="N16" s="45"/>
      <c r="O16" s="45"/>
      <c r="P16" s="45"/>
      <c r="Q16" s="45"/>
      <c r="R16" s="45"/>
      <c r="S16" s="45"/>
    </row>
    <row r="17" spans="1:19" ht="15" customHeight="1" x14ac:dyDescent="0.3">
      <c r="A17" s="27" t="s">
        <v>59</v>
      </c>
      <c r="D17" s="16" t="s">
        <v>32</v>
      </c>
      <c r="E17" s="39">
        <v>4</v>
      </c>
      <c r="I17" s="45"/>
      <c r="J17" s="45"/>
      <c r="K17" s="45"/>
      <c r="L17" s="45"/>
      <c r="M17" s="45"/>
      <c r="N17" s="45"/>
      <c r="O17" s="45"/>
      <c r="P17" s="45"/>
      <c r="Q17" s="45"/>
      <c r="R17" s="45"/>
      <c r="S17" s="45"/>
    </row>
    <row r="18" spans="1:19" x14ac:dyDescent="0.3">
      <c r="A18" s="40"/>
      <c r="B18" s="41"/>
      <c r="C18" s="41"/>
      <c r="D18" s="41"/>
      <c r="E18" s="41"/>
      <c r="F18" s="41"/>
      <c r="G18" s="41"/>
      <c r="H18" s="41"/>
      <c r="I18" s="41"/>
      <c r="J18" s="41"/>
      <c r="K18" s="41"/>
      <c r="L18" s="41"/>
      <c r="M18" s="41"/>
      <c r="N18" s="41"/>
      <c r="O18" s="41"/>
      <c r="P18" s="41"/>
      <c r="Q18" s="41"/>
      <c r="R18" s="41"/>
      <c r="S18" s="41"/>
    </row>
    <row r="19" spans="1:19" x14ac:dyDescent="0.3">
      <c r="A19" s="27" t="s">
        <v>156</v>
      </c>
      <c r="B19" s="28"/>
      <c r="C19" s="28"/>
      <c r="D19" s="28"/>
      <c r="E19" s="28"/>
      <c r="F19" s="28"/>
      <c r="G19" s="28"/>
      <c r="H19" s="28"/>
      <c r="I19" s="28"/>
      <c r="J19" s="28"/>
      <c r="K19" s="28"/>
      <c r="L19" s="28"/>
      <c r="M19" s="28"/>
      <c r="N19" s="28"/>
      <c r="O19" s="28"/>
      <c r="P19" s="28"/>
      <c r="Q19" s="28"/>
      <c r="R19" s="28"/>
      <c r="S19" s="28"/>
    </row>
    <row r="20" spans="1:19" x14ac:dyDescent="0.3">
      <c r="A20" s="57" t="s">
        <v>61</v>
      </c>
      <c r="B20" s="53" t="s">
        <v>41</v>
      </c>
      <c r="C20" s="53" t="s">
        <v>102</v>
      </c>
      <c r="D20" s="53" t="s">
        <v>46</v>
      </c>
      <c r="E20" s="53" t="s">
        <v>103</v>
      </c>
      <c r="F20" s="53" t="s">
        <v>47</v>
      </c>
      <c r="G20" s="53" t="s">
        <v>104</v>
      </c>
      <c r="H20" s="53" t="s">
        <v>106</v>
      </c>
      <c r="I20" s="53" t="s">
        <v>88</v>
      </c>
      <c r="J20" s="53" t="s">
        <v>105</v>
      </c>
      <c r="K20" s="53" t="s">
        <v>173</v>
      </c>
      <c r="L20" s="53" t="s">
        <v>174</v>
      </c>
      <c r="M20" s="53" t="s">
        <v>89</v>
      </c>
      <c r="N20" s="53" t="s">
        <v>83</v>
      </c>
      <c r="O20" s="53" t="s">
        <v>84</v>
      </c>
    </row>
    <row r="21" spans="1:19" x14ac:dyDescent="0.3">
      <c r="A21" s="58" t="s">
        <v>6</v>
      </c>
      <c r="B21" s="60">
        <v>0.4</v>
      </c>
      <c r="C21" s="60"/>
      <c r="D21" s="60">
        <v>0.3</v>
      </c>
      <c r="E21" s="60"/>
      <c r="F21" s="60">
        <v>0.25</v>
      </c>
      <c r="G21" s="60"/>
      <c r="H21" s="60"/>
      <c r="I21" s="60">
        <v>0.1</v>
      </c>
      <c r="J21" s="60"/>
      <c r="K21" s="60">
        <v>0.05</v>
      </c>
      <c r="L21" s="60"/>
      <c r="M21" s="60">
        <v>0.05</v>
      </c>
      <c r="N21" s="60"/>
      <c r="O21" s="60"/>
    </row>
    <row r="22" spans="1:19" x14ac:dyDescent="0.3">
      <c r="A22" s="58" t="s">
        <v>7</v>
      </c>
      <c r="B22" s="60">
        <v>0.1</v>
      </c>
      <c r="C22" s="60">
        <v>0.05</v>
      </c>
      <c r="D22" s="60">
        <v>0.1</v>
      </c>
      <c r="E22" s="60">
        <v>0.1</v>
      </c>
      <c r="F22" s="60">
        <v>0.1</v>
      </c>
      <c r="G22" s="60">
        <v>0.05</v>
      </c>
      <c r="H22" s="60">
        <v>0.45</v>
      </c>
      <c r="I22" s="60">
        <v>0.1</v>
      </c>
      <c r="J22" s="60">
        <v>0.05</v>
      </c>
      <c r="K22" s="60">
        <v>0.1</v>
      </c>
      <c r="L22" s="60">
        <v>0.05</v>
      </c>
      <c r="M22" s="60">
        <v>0.1</v>
      </c>
      <c r="N22" s="60"/>
      <c r="O22" s="60"/>
    </row>
    <row r="23" spans="1:19" x14ac:dyDescent="0.3">
      <c r="A23" s="58" t="s">
        <v>8</v>
      </c>
      <c r="B23" s="60">
        <v>0.15</v>
      </c>
      <c r="C23" s="60">
        <v>0.15</v>
      </c>
      <c r="D23" s="60">
        <v>0.1</v>
      </c>
      <c r="E23" s="60">
        <v>0.1</v>
      </c>
      <c r="F23" s="60">
        <v>0.05</v>
      </c>
      <c r="G23" s="60">
        <v>0.05</v>
      </c>
      <c r="H23" s="60">
        <v>0.05</v>
      </c>
      <c r="I23" s="60">
        <v>0.05</v>
      </c>
      <c r="J23" s="60">
        <v>0.05</v>
      </c>
      <c r="K23" s="60">
        <v>0.05</v>
      </c>
      <c r="L23" s="60">
        <v>0.05</v>
      </c>
      <c r="M23" s="60">
        <v>0.05</v>
      </c>
      <c r="N23" s="60">
        <v>0.05</v>
      </c>
      <c r="O23" s="60">
        <v>0.05</v>
      </c>
    </row>
    <row r="24" spans="1:19" x14ac:dyDescent="0.3">
      <c r="A24" s="58" t="s">
        <v>9</v>
      </c>
      <c r="B24" s="60">
        <v>0.1</v>
      </c>
      <c r="C24" s="60">
        <v>0.1</v>
      </c>
      <c r="D24" s="60">
        <v>0.1</v>
      </c>
      <c r="E24" s="60">
        <v>0.1</v>
      </c>
      <c r="F24" s="60">
        <v>0.1</v>
      </c>
      <c r="G24" s="60">
        <v>0.1</v>
      </c>
      <c r="H24" s="60">
        <v>0.05</v>
      </c>
      <c r="I24" s="60">
        <v>0.1</v>
      </c>
      <c r="J24" s="60">
        <v>0.1</v>
      </c>
      <c r="K24" s="60">
        <v>0.1</v>
      </c>
      <c r="L24" s="60">
        <v>0.1</v>
      </c>
      <c r="M24" s="60">
        <v>0.1</v>
      </c>
      <c r="N24" s="60">
        <v>0.1</v>
      </c>
      <c r="O24" s="60">
        <v>0.1</v>
      </c>
    </row>
    <row r="25" spans="1:19" x14ac:dyDescent="0.3">
      <c r="A25" s="58" t="s">
        <v>11</v>
      </c>
      <c r="B25" s="60">
        <v>0.1</v>
      </c>
      <c r="C25" s="60">
        <v>0.05</v>
      </c>
      <c r="D25" s="60">
        <v>0.2</v>
      </c>
      <c r="E25" s="60">
        <v>0.1</v>
      </c>
      <c r="F25" s="60">
        <v>0.2</v>
      </c>
      <c r="G25" s="60">
        <v>0.1</v>
      </c>
      <c r="H25" s="60">
        <v>0.05</v>
      </c>
      <c r="I25" s="60">
        <v>0.2</v>
      </c>
      <c r="J25" s="60">
        <v>0.15</v>
      </c>
      <c r="K25" s="60">
        <v>0.2</v>
      </c>
      <c r="L25" s="60">
        <v>0.15</v>
      </c>
      <c r="M25" s="60">
        <v>0.25</v>
      </c>
      <c r="N25" s="60">
        <v>0.05</v>
      </c>
      <c r="O25" s="60">
        <v>0.05</v>
      </c>
    </row>
    <row r="26" spans="1:19" x14ac:dyDescent="0.3">
      <c r="A26" s="58" t="s">
        <v>12</v>
      </c>
      <c r="B26" s="60">
        <v>0.05</v>
      </c>
      <c r="C26" s="60">
        <v>0.05</v>
      </c>
      <c r="D26" s="60">
        <v>0.05</v>
      </c>
      <c r="E26" s="60">
        <v>0.05</v>
      </c>
      <c r="F26" s="60">
        <v>0.1</v>
      </c>
      <c r="G26" s="60">
        <v>0.1</v>
      </c>
      <c r="H26" s="60">
        <v>0.1</v>
      </c>
      <c r="I26" s="60">
        <v>0.13</v>
      </c>
      <c r="J26" s="60">
        <v>0.09</v>
      </c>
      <c r="K26" s="60">
        <v>0.13</v>
      </c>
      <c r="L26" s="60">
        <v>0.09</v>
      </c>
      <c r="M26" s="60">
        <v>0.13</v>
      </c>
      <c r="N26" s="60">
        <v>0.15</v>
      </c>
      <c r="O26" s="60">
        <v>0.15</v>
      </c>
    </row>
    <row r="27" spans="1:19" ht="27" customHeight="1" x14ac:dyDescent="0.3">
      <c r="A27" s="58" t="s">
        <v>10</v>
      </c>
      <c r="B27" s="60">
        <v>0.05</v>
      </c>
      <c r="C27" s="60">
        <v>0.05</v>
      </c>
      <c r="D27" s="60">
        <v>0.05</v>
      </c>
      <c r="E27" s="60">
        <v>0.05</v>
      </c>
      <c r="F27" s="60">
        <v>0.1</v>
      </c>
      <c r="G27" s="60">
        <v>0.1</v>
      </c>
      <c r="H27" s="60">
        <v>0.1</v>
      </c>
      <c r="I27" s="60">
        <v>0.09</v>
      </c>
      <c r="J27" s="60">
        <v>0.09</v>
      </c>
      <c r="K27" s="60">
        <v>0.09</v>
      </c>
      <c r="L27" s="60">
        <v>0.09</v>
      </c>
      <c r="M27" s="60">
        <v>0.09</v>
      </c>
      <c r="N27" s="60">
        <v>0.1</v>
      </c>
      <c r="O27" s="60">
        <v>0.1</v>
      </c>
    </row>
    <row r="28" spans="1:19" x14ac:dyDescent="0.3">
      <c r="A28" s="58" t="s">
        <v>13</v>
      </c>
      <c r="B28" s="60">
        <v>0.05</v>
      </c>
      <c r="C28" s="60">
        <v>0.05</v>
      </c>
      <c r="D28" s="60">
        <v>0.1</v>
      </c>
      <c r="E28" s="60">
        <v>0.1</v>
      </c>
      <c r="F28" s="60">
        <v>0.1</v>
      </c>
      <c r="G28" s="60">
        <v>0.1</v>
      </c>
      <c r="H28" s="60">
        <v>0.15</v>
      </c>
      <c r="I28" s="60">
        <v>0.13</v>
      </c>
      <c r="J28" s="60">
        <v>0.12</v>
      </c>
      <c r="K28" s="60">
        <v>0.13</v>
      </c>
      <c r="L28" s="60">
        <v>0.12</v>
      </c>
      <c r="M28" s="60">
        <v>0.13</v>
      </c>
      <c r="N28" s="60">
        <v>0.15</v>
      </c>
      <c r="O28" s="60">
        <v>0.15</v>
      </c>
    </row>
    <row r="29" spans="1:19" x14ac:dyDescent="0.3">
      <c r="A29" s="58" t="s">
        <v>69</v>
      </c>
      <c r="B29" s="60"/>
      <c r="C29" s="60"/>
      <c r="D29" s="60"/>
      <c r="E29" s="60"/>
      <c r="F29" s="60"/>
      <c r="G29" s="60"/>
      <c r="H29" s="60"/>
      <c r="I29" s="60">
        <v>0.05</v>
      </c>
      <c r="J29" s="60">
        <v>0.05</v>
      </c>
      <c r="K29" s="60">
        <v>0.05</v>
      </c>
      <c r="L29" s="60">
        <v>0.05</v>
      </c>
      <c r="M29" s="60"/>
      <c r="N29" s="60">
        <v>0.1</v>
      </c>
      <c r="O29" s="60">
        <v>0.1</v>
      </c>
    </row>
    <row r="30" spans="1:19" x14ac:dyDescent="0.3">
      <c r="A30" s="58" t="s">
        <v>70</v>
      </c>
      <c r="B30" s="60"/>
      <c r="C30" s="60"/>
      <c r="D30" s="60"/>
      <c r="E30" s="60"/>
      <c r="F30" s="60"/>
      <c r="G30" s="60"/>
      <c r="H30" s="60"/>
      <c r="I30" s="60"/>
      <c r="J30" s="60"/>
      <c r="K30" s="60">
        <v>0.05</v>
      </c>
      <c r="L30" s="60"/>
      <c r="M30" s="60"/>
      <c r="N30" s="60">
        <v>0.15</v>
      </c>
      <c r="O30" s="60">
        <v>0.15</v>
      </c>
    </row>
    <row r="31" spans="1:19" ht="27.75" customHeight="1" x14ac:dyDescent="0.3">
      <c r="A31" s="58" t="s">
        <v>149</v>
      </c>
      <c r="B31" s="60"/>
      <c r="C31" s="60"/>
      <c r="D31" s="60"/>
      <c r="E31" s="60"/>
      <c r="F31" s="60"/>
      <c r="G31" s="60"/>
      <c r="H31" s="60"/>
      <c r="I31" s="60"/>
      <c r="J31" s="60"/>
      <c r="K31" s="60"/>
      <c r="L31" s="60"/>
      <c r="M31" s="60"/>
      <c r="N31" s="60">
        <v>0.05</v>
      </c>
      <c r="O31" s="60">
        <v>0.05</v>
      </c>
    </row>
    <row r="32" spans="1:19" x14ac:dyDescent="0.3">
      <c r="A32" s="58" t="s">
        <v>71</v>
      </c>
      <c r="B32" s="60"/>
      <c r="C32" s="60"/>
      <c r="D32" s="60"/>
      <c r="E32" s="60"/>
      <c r="F32" s="60"/>
      <c r="G32" s="60"/>
      <c r="H32" s="60">
        <v>0.05</v>
      </c>
      <c r="I32" s="60">
        <v>0.05</v>
      </c>
      <c r="J32" s="60">
        <v>0.05</v>
      </c>
      <c r="K32" s="60">
        <v>0.05</v>
      </c>
      <c r="L32" s="60">
        <v>0.05</v>
      </c>
      <c r="M32" s="60">
        <v>0.1</v>
      </c>
      <c r="N32" s="60">
        <v>0.1</v>
      </c>
      <c r="O32" s="60">
        <v>0.1</v>
      </c>
    </row>
    <row r="33" spans="1:19" x14ac:dyDescent="0.3">
      <c r="A33" s="58" t="s">
        <v>98</v>
      </c>
      <c r="B33" s="60"/>
      <c r="C33" s="60">
        <v>0.45</v>
      </c>
      <c r="D33" s="60"/>
      <c r="E33" s="60">
        <v>0.3</v>
      </c>
      <c r="F33" s="60"/>
      <c r="G33" s="60">
        <v>0.3</v>
      </c>
      <c r="H33" s="60"/>
      <c r="I33" s="60"/>
      <c r="J33" s="60">
        <v>0.2</v>
      </c>
      <c r="K33" s="60"/>
      <c r="L33" s="60">
        <v>0.2</v>
      </c>
      <c r="M33" s="60"/>
      <c r="N33" s="60"/>
      <c r="O33" s="60"/>
    </row>
    <row r="34" spans="1:19" x14ac:dyDescent="0.3">
      <c r="A34" s="58" t="s">
        <v>99</v>
      </c>
      <c r="B34" s="60"/>
      <c r="C34" s="60">
        <v>0.05</v>
      </c>
      <c r="D34" s="60"/>
      <c r="E34" s="60">
        <v>0.1</v>
      </c>
      <c r="F34" s="60"/>
      <c r="G34" s="60">
        <v>0.1</v>
      </c>
      <c r="H34" s="60"/>
      <c r="I34" s="60"/>
      <c r="J34" s="60">
        <v>0.05</v>
      </c>
      <c r="K34" s="60"/>
      <c r="L34" s="60">
        <v>0.05</v>
      </c>
      <c r="M34" s="60"/>
      <c r="N34" s="60"/>
      <c r="O34" s="60"/>
    </row>
    <row r="35" spans="1:19" ht="15" customHeight="1" x14ac:dyDescent="0.3">
      <c r="A35" s="59" t="s">
        <v>52</v>
      </c>
      <c r="B35" s="61">
        <f>SUM(B21:B34)</f>
        <v>1</v>
      </c>
      <c r="C35" s="61">
        <f t="shared" ref="C35:O35" si="0">SUM(C21:C34)</f>
        <v>1</v>
      </c>
      <c r="D35" s="61">
        <f t="shared" si="0"/>
        <v>1.0000000000000002</v>
      </c>
      <c r="E35" s="61">
        <f t="shared" si="0"/>
        <v>0.99999999999999989</v>
      </c>
      <c r="F35" s="61">
        <f t="shared" si="0"/>
        <v>0.99999999999999989</v>
      </c>
      <c r="G35" s="61">
        <f t="shared" si="0"/>
        <v>0.99999999999999989</v>
      </c>
      <c r="H35" s="61">
        <f t="shared" si="0"/>
        <v>1</v>
      </c>
      <c r="I35" s="61">
        <f t="shared" si="0"/>
        <v>1</v>
      </c>
      <c r="J35" s="61">
        <f t="shared" si="0"/>
        <v>1</v>
      </c>
      <c r="K35" s="61">
        <f t="shared" si="0"/>
        <v>1</v>
      </c>
      <c r="L35" s="61">
        <f t="shared" si="0"/>
        <v>1</v>
      </c>
      <c r="M35" s="61">
        <f t="shared" si="0"/>
        <v>1</v>
      </c>
      <c r="N35" s="61">
        <f t="shared" si="0"/>
        <v>1</v>
      </c>
      <c r="O35" s="61">
        <f t="shared" si="0"/>
        <v>1</v>
      </c>
    </row>
    <row r="36" spans="1:19" ht="15" customHeight="1" x14ac:dyDescent="0.3"/>
    <row r="37" spans="1:19" ht="15" customHeight="1" x14ac:dyDescent="0.3">
      <c r="B37" s="46" t="s">
        <v>107</v>
      </c>
    </row>
    <row r="38" spans="1:19" ht="15" customHeight="1" x14ac:dyDescent="0.3">
      <c r="B38" s="63" t="s">
        <v>41</v>
      </c>
      <c r="C38" s="64" t="s">
        <v>102</v>
      </c>
      <c r="D38" s="64" t="s">
        <v>46</v>
      </c>
      <c r="E38" s="64" t="s">
        <v>103</v>
      </c>
      <c r="F38" s="64" t="s">
        <v>47</v>
      </c>
      <c r="G38" s="64" t="s">
        <v>104</v>
      </c>
      <c r="H38" s="64" t="s">
        <v>106</v>
      </c>
      <c r="I38" s="64" t="s">
        <v>88</v>
      </c>
      <c r="J38" s="64" t="s">
        <v>105</v>
      </c>
      <c r="K38" s="64" t="s">
        <v>173</v>
      </c>
      <c r="L38" s="64" t="s">
        <v>174</v>
      </c>
      <c r="M38" s="64" t="s">
        <v>89</v>
      </c>
      <c r="N38" s="64" t="s">
        <v>83</v>
      </c>
      <c r="O38" s="64" t="s">
        <v>84</v>
      </c>
      <c r="P38" s="65" t="s">
        <v>64</v>
      </c>
    </row>
    <row r="39" spans="1:19" ht="15" customHeight="1" x14ac:dyDescent="0.3">
      <c r="B39" s="76">
        <v>0</v>
      </c>
      <c r="C39" s="76">
        <v>0</v>
      </c>
      <c r="D39" s="76">
        <v>0</v>
      </c>
      <c r="E39" s="76">
        <v>0</v>
      </c>
      <c r="F39" s="76">
        <v>0</v>
      </c>
      <c r="G39" s="76">
        <v>0</v>
      </c>
      <c r="H39" s="76">
        <v>0</v>
      </c>
      <c r="I39" s="76">
        <v>0</v>
      </c>
      <c r="J39" s="76">
        <v>0</v>
      </c>
      <c r="K39" s="76">
        <v>0</v>
      </c>
      <c r="L39" s="76">
        <v>0</v>
      </c>
      <c r="M39" s="76">
        <v>0</v>
      </c>
      <c r="N39" s="32">
        <v>0</v>
      </c>
      <c r="O39" s="32">
        <v>0</v>
      </c>
      <c r="P39" s="62" t="s">
        <v>42</v>
      </c>
    </row>
    <row r="40" spans="1:19" ht="15" customHeight="1" x14ac:dyDescent="0.3">
      <c r="B40" s="76">
        <v>0.8</v>
      </c>
      <c r="C40" s="76">
        <v>0.8</v>
      </c>
      <c r="D40" s="76">
        <v>1</v>
      </c>
      <c r="E40" s="76">
        <v>1</v>
      </c>
      <c r="F40" s="76">
        <v>1.65</v>
      </c>
      <c r="G40" s="76">
        <v>1.65</v>
      </c>
      <c r="H40" s="76">
        <v>1.65</v>
      </c>
      <c r="I40" s="76">
        <v>2.1</v>
      </c>
      <c r="J40" s="76">
        <v>2.1</v>
      </c>
      <c r="K40" s="76">
        <v>2.5</v>
      </c>
      <c r="L40" s="76">
        <v>2.5</v>
      </c>
      <c r="M40" s="76">
        <v>2.9</v>
      </c>
      <c r="N40" s="32">
        <v>2.25</v>
      </c>
      <c r="O40" s="32">
        <v>2.8</v>
      </c>
      <c r="P40" s="62" t="s">
        <v>43</v>
      </c>
    </row>
    <row r="41" spans="1:19" ht="15" customHeight="1" x14ac:dyDescent="0.3">
      <c r="B41" s="76">
        <v>1.2</v>
      </c>
      <c r="C41" s="76">
        <v>1.2</v>
      </c>
      <c r="D41" s="76">
        <v>1.55</v>
      </c>
      <c r="E41" s="76">
        <v>1.55</v>
      </c>
      <c r="F41" s="76">
        <v>2.35</v>
      </c>
      <c r="G41" s="76">
        <v>2.35</v>
      </c>
      <c r="H41" s="76">
        <v>2.35</v>
      </c>
      <c r="I41" s="76">
        <v>2.8</v>
      </c>
      <c r="J41" s="76">
        <v>2.8</v>
      </c>
      <c r="K41" s="76">
        <v>3</v>
      </c>
      <c r="L41" s="76">
        <v>3</v>
      </c>
      <c r="M41" s="76">
        <v>3.4</v>
      </c>
      <c r="N41" s="32">
        <v>2.8</v>
      </c>
      <c r="O41" s="32">
        <v>3.4</v>
      </c>
      <c r="P41" s="62" t="s">
        <v>44</v>
      </c>
    </row>
    <row r="42" spans="1:19" ht="15" customHeight="1" x14ac:dyDescent="0.3">
      <c r="B42" s="76">
        <v>1.5</v>
      </c>
      <c r="C42" s="76">
        <v>1.5</v>
      </c>
      <c r="D42" s="76">
        <v>2</v>
      </c>
      <c r="E42" s="76">
        <v>2</v>
      </c>
      <c r="F42" s="76">
        <v>2.8</v>
      </c>
      <c r="G42" s="76">
        <v>2.8</v>
      </c>
      <c r="H42" s="76">
        <v>2.8</v>
      </c>
      <c r="I42" s="76">
        <v>3.25</v>
      </c>
      <c r="J42" s="76">
        <v>3.25</v>
      </c>
      <c r="K42" s="76">
        <v>3.5</v>
      </c>
      <c r="L42" s="76">
        <v>3.5</v>
      </c>
      <c r="M42" s="76">
        <v>3.7</v>
      </c>
      <c r="N42" s="66">
        <v>3.4</v>
      </c>
      <c r="O42" s="66">
        <v>3.75</v>
      </c>
      <c r="P42" s="67" t="s">
        <v>45</v>
      </c>
    </row>
    <row r="43" spans="1:19" ht="15" customHeight="1" x14ac:dyDescent="0.3"/>
    <row r="44" spans="1:19" ht="15" customHeight="1" x14ac:dyDescent="0.3"/>
    <row r="45" spans="1:19" ht="15" customHeight="1" x14ac:dyDescent="0.3">
      <c r="B45" s="46" t="s">
        <v>85</v>
      </c>
    </row>
    <row r="46" spans="1:19" ht="15" customHeight="1" x14ac:dyDescent="0.3">
      <c r="B46" s="53" t="s">
        <v>41</v>
      </c>
      <c r="C46" s="53" t="s">
        <v>102</v>
      </c>
      <c r="D46" s="53" t="s">
        <v>46</v>
      </c>
      <c r="E46" s="53" t="s">
        <v>103</v>
      </c>
      <c r="F46" s="53" t="s">
        <v>47</v>
      </c>
      <c r="G46" s="53" t="s">
        <v>104</v>
      </c>
      <c r="H46" s="53" t="s">
        <v>106</v>
      </c>
      <c r="I46" s="53" t="s">
        <v>88</v>
      </c>
      <c r="J46" s="53" t="s">
        <v>105</v>
      </c>
      <c r="K46" s="64" t="s">
        <v>173</v>
      </c>
      <c r="L46" s="64" t="s">
        <v>174</v>
      </c>
      <c r="M46" s="53" t="s">
        <v>89</v>
      </c>
      <c r="N46" s="53" t="s">
        <v>83</v>
      </c>
      <c r="O46" s="53" t="s">
        <v>84</v>
      </c>
    </row>
    <row r="47" spans="1:19" x14ac:dyDescent="0.3">
      <c r="B47" s="55" t="s">
        <v>6</v>
      </c>
      <c r="C47" s="42" t="s">
        <v>98</v>
      </c>
      <c r="D47" s="42" t="s">
        <v>6</v>
      </c>
      <c r="E47" s="42" t="s">
        <v>98</v>
      </c>
      <c r="F47" s="42" t="s">
        <v>6</v>
      </c>
      <c r="G47" s="42" t="s">
        <v>98</v>
      </c>
      <c r="H47" s="42" t="s">
        <v>7</v>
      </c>
      <c r="I47" s="42" t="s">
        <v>6</v>
      </c>
      <c r="J47" s="42" t="s">
        <v>98</v>
      </c>
      <c r="K47" s="42" t="s">
        <v>6</v>
      </c>
      <c r="L47" s="42" t="s">
        <v>98</v>
      </c>
      <c r="M47" s="42" t="s">
        <v>6</v>
      </c>
      <c r="N47" s="42" t="s">
        <v>69</v>
      </c>
      <c r="O47" s="42" t="s">
        <v>69</v>
      </c>
    </row>
    <row r="48" spans="1:19" x14ac:dyDescent="0.3">
      <c r="B48" s="55" t="s">
        <v>7</v>
      </c>
      <c r="C48" s="42" t="s">
        <v>99</v>
      </c>
      <c r="D48" s="42" t="s">
        <v>7</v>
      </c>
      <c r="E48" s="42" t="s">
        <v>99</v>
      </c>
      <c r="F48" s="42" t="s">
        <v>7</v>
      </c>
      <c r="G48" s="42" t="s">
        <v>99</v>
      </c>
      <c r="H48" s="42" t="s">
        <v>8</v>
      </c>
      <c r="I48" s="42" t="s">
        <v>7</v>
      </c>
      <c r="J48" s="42" t="s">
        <v>99</v>
      </c>
      <c r="K48" s="42" t="s">
        <v>7</v>
      </c>
      <c r="L48" s="42" t="s">
        <v>99</v>
      </c>
      <c r="M48" s="42" t="s">
        <v>7</v>
      </c>
      <c r="N48" s="42" t="s">
        <v>70</v>
      </c>
      <c r="O48" s="42" t="s">
        <v>70</v>
      </c>
      <c r="Q48" s="28"/>
      <c r="R48" s="28"/>
      <c r="S48" s="28"/>
    </row>
    <row r="49" spans="1:19" x14ac:dyDescent="0.3">
      <c r="B49" s="55" t="s">
        <v>8</v>
      </c>
      <c r="C49" s="42" t="s">
        <v>7</v>
      </c>
      <c r="D49" s="42" t="s">
        <v>8</v>
      </c>
      <c r="E49" s="42" t="s">
        <v>7</v>
      </c>
      <c r="F49" s="42" t="s">
        <v>8</v>
      </c>
      <c r="G49" s="42" t="s">
        <v>7</v>
      </c>
      <c r="H49" s="42" t="s">
        <v>9</v>
      </c>
      <c r="I49" s="42" t="s">
        <v>8</v>
      </c>
      <c r="J49" s="42" t="s">
        <v>7</v>
      </c>
      <c r="K49" s="42" t="s">
        <v>8</v>
      </c>
      <c r="L49" s="42" t="s">
        <v>7</v>
      </c>
      <c r="M49" s="42" t="s">
        <v>8</v>
      </c>
      <c r="N49" s="42" t="s">
        <v>149</v>
      </c>
      <c r="O49" s="42" t="s">
        <v>149</v>
      </c>
      <c r="Q49" s="28"/>
      <c r="R49" s="28"/>
      <c r="S49" s="28"/>
    </row>
    <row r="50" spans="1:19" x14ac:dyDescent="0.3">
      <c r="B50" s="55" t="s">
        <v>9</v>
      </c>
      <c r="C50" s="42" t="s">
        <v>8</v>
      </c>
      <c r="D50" s="42" t="s">
        <v>9</v>
      </c>
      <c r="E50" s="42" t="s">
        <v>8</v>
      </c>
      <c r="F50" s="42" t="s">
        <v>9</v>
      </c>
      <c r="G50" s="42" t="s">
        <v>8</v>
      </c>
      <c r="H50" s="42" t="s">
        <v>11</v>
      </c>
      <c r="I50" s="42" t="s">
        <v>9</v>
      </c>
      <c r="J50" s="42" t="s">
        <v>8</v>
      </c>
      <c r="K50" s="42" t="s">
        <v>9</v>
      </c>
      <c r="L50" s="42" t="s">
        <v>8</v>
      </c>
      <c r="M50" s="42" t="s">
        <v>9</v>
      </c>
      <c r="N50" s="42" t="s">
        <v>8</v>
      </c>
      <c r="O50" s="42" t="s">
        <v>8</v>
      </c>
      <c r="Q50" s="28"/>
      <c r="R50" s="28"/>
      <c r="S50" s="28"/>
    </row>
    <row r="51" spans="1:19" x14ac:dyDescent="0.3">
      <c r="B51" s="55" t="s">
        <v>11</v>
      </c>
      <c r="C51" s="42" t="s">
        <v>9</v>
      </c>
      <c r="D51" s="42" t="s">
        <v>11</v>
      </c>
      <c r="E51" s="42" t="s">
        <v>9</v>
      </c>
      <c r="F51" s="42" t="s">
        <v>11</v>
      </c>
      <c r="G51" s="42" t="s">
        <v>9</v>
      </c>
      <c r="H51" s="42" t="s">
        <v>12</v>
      </c>
      <c r="I51" s="42" t="s">
        <v>11</v>
      </c>
      <c r="J51" s="42" t="s">
        <v>9</v>
      </c>
      <c r="K51" s="42" t="s">
        <v>11</v>
      </c>
      <c r="L51" s="42" t="s">
        <v>9</v>
      </c>
      <c r="M51" s="42" t="s">
        <v>11</v>
      </c>
      <c r="N51" s="42" t="s">
        <v>9</v>
      </c>
      <c r="O51" s="42" t="s">
        <v>9</v>
      </c>
      <c r="Q51" s="28"/>
      <c r="R51" s="28"/>
      <c r="S51" s="28"/>
    </row>
    <row r="52" spans="1:19" x14ac:dyDescent="0.3">
      <c r="B52" s="55" t="s">
        <v>12</v>
      </c>
      <c r="C52" s="42" t="s">
        <v>11</v>
      </c>
      <c r="D52" s="42" t="s">
        <v>12</v>
      </c>
      <c r="E52" s="42" t="s">
        <v>11</v>
      </c>
      <c r="F52" s="42" t="s">
        <v>12</v>
      </c>
      <c r="G52" s="42" t="s">
        <v>11</v>
      </c>
      <c r="H52" s="42" t="s">
        <v>71</v>
      </c>
      <c r="I52" s="42" t="s">
        <v>12</v>
      </c>
      <c r="J52" s="42" t="s">
        <v>11</v>
      </c>
      <c r="K52" s="42" t="s">
        <v>12</v>
      </c>
      <c r="L52" s="42" t="s">
        <v>11</v>
      </c>
      <c r="M52" s="42" t="s">
        <v>12</v>
      </c>
      <c r="N52" s="42" t="s">
        <v>11</v>
      </c>
      <c r="O52" s="42" t="s">
        <v>11</v>
      </c>
      <c r="Q52" s="28"/>
      <c r="R52" s="28"/>
      <c r="S52" s="28"/>
    </row>
    <row r="53" spans="1:19" x14ac:dyDescent="0.3">
      <c r="B53" s="55" t="s">
        <v>10</v>
      </c>
      <c r="C53" s="42" t="s">
        <v>12</v>
      </c>
      <c r="D53" s="42" t="s">
        <v>10</v>
      </c>
      <c r="E53" s="42" t="s">
        <v>12</v>
      </c>
      <c r="F53" s="42" t="s">
        <v>10</v>
      </c>
      <c r="G53" s="42" t="s">
        <v>12</v>
      </c>
      <c r="H53" s="42" t="s">
        <v>10</v>
      </c>
      <c r="I53" s="42" t="s">
        <v>71</v>
      </c>
      <c r="J53" s="42" t="s">
        <v>12</v>
      </c>
      <c r="K53" s="42" t="s">
        <v>71</v>
      </c>
      <c r="L53" s="42" t="s">
        <v>12</v>
      </c>
      <c r="M53" s="42" t="s">
        <v>71</v>
      </c>
      <c r="N53" s="42" t="s">
        <v>12</v>
      </c>
      <c r="O53" s="42" t="s">
        <v>12</v>
      </c>
      <c r="Q53" s="28"/>
      <c r="R53" s="28"/>
      <c r="S53" s="28"/>
    </row>
    <row r="54" spans="1:19" x14ac:dyDescent="0.3">
      <c r="B54" s="55" t="s">
        <v>13</v>
      </c>
      <c r="C54" s="42" t="s">
        <v>10</v>
      </c>
      <c r="D54" s="42" t="s">
        <v>13</v>
      </c>
      <c r="E54" s="42" t="s">
        <v>10</v>
      </c>
      <c r="F54" s="42" t="s">
        <v>13</v>
      </c>
      <c r="G54" s="42" t="s">
        <v>10</v>
      </c>
      <c r="H54" s="42" t="s">
        <v>13</v>
      </c>
      <c r="I54" s="42" t="s">
        <v>10</v>
      </c>
      <c r="J54" s="42" t="s">
        <v>71</v>
      </c>
      <c r="K54" s="42" t="s">
        <v>10</v>
      </c>
      <c r="L54" s="42" t="s">
        <v>71</v>
      </c>
      <c r="M54" s="42" t="s">
        <v>10</v>
      </c>
      <c r="N54" s="42" t="s">
        <v>71</v>
      </c>
      <c r="O54" s="42" t="s">
        <v>71</v>
      </c>
      <c r="Q54" s="28"/>
      <c r="R54" s="28"/>
      <c r="S54" s="28"/>
    </row>
    <row r="55" spans="1:19" x14ac:dyDescent="0.3">
      <c r="B55" s="56"/>
      <c r="C55" s="43" t="s">
        <v>13</v>
      </c>
      <c r="D55" s="56"/>
      <c r="E55" s="43" t="s">
        <v>13</v>
      </c>
      <c r="F55" s="56"/>
      <c r="G55" s="43" t="s">
        <v>13</v>
      </c>
      <c r="H55" s="42"/>
      <c r="I55" s="42" t="s">
        <v>13</v>
      </c>
      <c r="J55" s="42" t="s">
        <v>10</v>
      </c>
      <c r="K55" s="42" t="s">
        <v>13</v>
      </c>
      <c r="L55" s="42" t="s">
        <v>10</v>
      </c>
      <c r="M55" s="42" t="s">
        <v>13</v>
      </c>
      <c r="N55" s="42" t="s">
        <v>10</v>
      </c>
      <c r="O55" s="42" t="s">
        <v>10</v>
      </c>
      <c r="Q55" s="28"/>
      <c r="R55" s="28"/>
      <c r="S55" s="28"/>
    </row>
    <row r="56" spans="1:19" x14ac:dyDescent="0.3">
      <c r="B56" s="55" t="s">
        <v>162</v>
      </c>
      <c r="C56" s="42"/>
      <c r="D56" s="42"/>
      <c r="E56" s="42"/>
      <c r="F56" s="42"/>
      <c r="G56" s="42"/>
      <c r="H56" s="42"/>
      <c r="I56" s="42" t="s">
        <v>69</v>
      </c>
      <c r="J56" s="42" t="s">
        <v>13</v>
      </c>
      <c r="K56" s="42" t="s">
        <v>69</v>
      </c>
      <c r="L56" s="42" t="s">
        <v>13</v>
      </c>
      <c r="M56" s="42"/>
      <c r="N56" s="42" t="s">
        <v>13</v>
      </c>
      <c r="O56" s="68" t="s">
        <v>13</v>
      </c>
      <c r="Q56" s="28"/>
      <c r="R56" s="28"/>
      <c r="S56" s="28"/>
    </row>
    <row r="57" spans="1:19" x14ac:dyDescent="0.3">
      <c r="B57" s="56" t="s">
        <v>162</v>
      </c>
      <c r="C57" s="56"/>
      <c r="D57" s="56"/>
      <c r="E57" s="56"/>
      <c r="F57" s="56"/>
      <c r="G57" s="56"/>
      <c r="H57" s="42"/>
      <c r="I57" s="56"/>
      <c r="J57" s="42" t="s">
        <v>69</v>
      </c>
      <c r="K57" s="56" t="s">
        <v>70</v>
      </c>
      <c r="L57" s="42" t="s">
        <v>69</v>
      </c>
      <c r="M57" s="56"/>
      <c r="N57" s="42"/>
      <c r="O57" s="42"/>
      <c r="Q57" s="28"/>
      <c r="R57" s="28"/>
      <c r="S57" s="28"/>
    </row>
    <row r="58" spans="1:19" x14ac:dyDescent="0.3">
      <c r="A58" s="52" t="s">
        <v>108</v>
      </c>
      <c r="B58" s="54">
        <v>2</v>
      </c>
      <c r="C58" s="54">
        <v>2</v>
      </c>
      <c r="D58" s="54">
        <v>2</v>
      </c>
      <c r="E58" s="54">
        <v>2</v>
      </c>
      <c r="F58" s="54">
        <v>2</v>
      </c>
      <c r="G58" s="54">
        <v>2</v>
      </c>
      <c r="H58" s="54">
        <v>2</v>
      </c>
      <c r="I58" s="54">
        <v>2</v>
      </c>
      <c r="J58" s="54">
        <v>2</v>
      </c>
      <c r="K58" s="54">
        <v>2</v>
      </c>
      <c r="L58" s="54">
        <v>2</v>
      </c>
      <c r="M58" s="54">
        <v>2</v>
      </c>
      <c r="N58" s="54">
        <v>2</v>
      </c>
      <c r="O58" s="54">
        <v>2</v>
      </c>
      <c r="Q58" s="28"/>
      <c r="R58" s="28"/>
      <c r="S58" s="28"/>
    </row>
    <row r="59" spans="1:19" x14ac:dyDescent="0.3">
      <c r="B59" s="54">
        <v>2</v>
      </c>
      <c r="C59" s="54">
        <v>27</v>
      </c>
      <c r="D59" s="54">
        <v>2</v>
      </c>
      <c r="E59" s="54">
        <v>27</v>
      </c>
      <c r="F59" s="54">
        <v>2</v>
      </c>
      <c r="G59" s="54">
        <v>27</v>
      </c>
      <c r="H59" s="54">
        <v>35</v>
      </c>
      <c r="I59" s="54">
        <v>19</v>
      </c>
      <c r="J59" s="54">
        <v>35</v>
      </c>
      <c r="K59" s="54">
        <v>19</v>
      </c>
      <c r="L59" s="54">
        <v>35</v>
      </c>
      <c r="M59" s="54">
        <v>19</v>
      </c>
      <c r="N59" s="54">
        <v>10</v>
      </c>
      <c r="O59" s="54">
        <v>10</v>
      </c>
      <c r="Q59" s="28"/>
      <c r="R59" s="28"/>
      <c r="S59" s="28"/>
    </row>
    <row r="60" spans="1:19" x14ac:dyDescent="0.3">
      <c r="B60" s="28"/>
      <c r="C60" s="28"/>
      <c r="D60" s="28"/>
      <c r="E60" s="28"/>
      <c r="F60" s="28"/>
      <c r="G60" s="28"/>
      <c r="H60" s="28"/>
      <c r="I60" s="28"/>
      <c r="J60" s="28"/>
      <c r="K60" s="28"/>
      <c r="L60" s="28"/>
      <c r="M60" s="28"/>
      <c r="N60" s="28"/>
      <c r="O60" s="28"/>
      <c r="P60" s="28"/>
      <c r="Q60" s="28"/>
      <c r="R60" s="28"/>
      <c r="S60" s="28"/>
    </row>
    <row r="61" spans="1:19" x14ac:dyDescent="0.3">
      <c r="B61" s="28"/>
      <c r="C61" s="28"/>
      <c r="D61" s="28"/>
      <c r="E61" s="28"/>
      <c r="F61" s="28"/>
      <c r="G61" s="28"/>
      <c r="H61" s="28"/>
      <c r="I61" s="28"/>
      <c r="J61" s="28"/>
      <c r="K61" s="28"/>
      <c r="L61" s="28"/>
      <c r="M61" s="28"/>
      <c r="N61" s="28"/>
      <c r="O61" s="28"/>
      <c r="P61" s="28"/>
      <c r="Q61" s="28"/>
      <c r="R61" s="28"/>
      <c r="S61" s="28"/>
    </row>
    <row r="62" spans="1:19" x14ac:dyDescent="0.3">
      <c r="B62" s="28"/>
      <c r="C62" s="28"/>
      <c r="D62" s="28"/>
      <c r="E62" s="28"/>
      <c r="F62" s="28"/>
      <c r="G62" s="28"/>
      <c r="H62" s="28"/>
      <c r="I62" s="28"/>
      <c r="J62" s="28"/>
      <c r="K62" s="28"/>
      <c r="L62" s="28"/>
      <c r="M62" s="28"/>
      <c r="N62" s="28"/>
      <c r="O62" s="28"/>
      <c r="P62" s="28"/>
      <c r="Q62" s="28"/>
      <c r="R62" s="28"/>
      <c r="S62" s="28"/>
    </row>
    <row r="63" spans="1:19" x14ac:dyDescent="0.3">
      <c r="B63" s="28"/>
      <c r="C63" s="28"/>
      <c r="D63" s="28"/>
      <c r="E63" s="28"/>
      <c r="F63" s="28"/>
      <c r="G63" s="28"/>
      <c r="H63" s="28"/>
      <c r="I63" s="28"/>
      <c r="J63" s="28"/>
      <c r="K63" s="28"/>
      <c r="L63" s="28"/>
      <c r="M63" s="28"/>
      <c r="N63" s="28"/>
      <c r="O63" s="28"/>
      <c r="P63" s="28"/>
      <c r="Q63" s="28"/>
      <c r="R63" s="28"/>
      <c r="S63" s="28"/>
    </row>
    <row r="64" spans="1:19" x14ac:dyDescent="0.3">
      <c r="B64" s="28"/>
      <c r="C64" s="28"/>
      <c r="D64" s="28"/>
      <c r="E64" s="28"/>
      <c r="F64" s="28"/>
      <c r="G64" s="28"/>
      <c r="H64" s="28"/>
      <c r="I64" s="28"/>
      <c r="J64" s="28"/>
      <c r="K64" s="28"/>
      <c r="L64" s="28"/>
      <c r="M64" s="28"/>
      <c r="N64" s="28"/>
      <c r="O64" s="28"/>
      <c r="P64" s="28"/>
      <c r="Q64" s="28"/>
      <c r="R64" s="28"/>
      <c r="S64" s="28"/>
    </row>
    <row r="65" spans="2:16" x14ac:dyDescent="0.3">
      <c r="B65" s="28"/>
      <c r="C65" s="28"/>
      <c r="D65" s="28"/>
      <c r="E65" s="28"/>
      <c r="F65" s="28"/>
      <c r="G65" s="28"/>
      <c r="H65" s="28"/>
      <c r="I65" s="28"/>
      <c r="J65" s="28"/>
      <c r="K65" s="28"/>
      <c r="L65" s="28"/>
      <c r="M65" s="28"/>
      <c r="N65" s="28"/>
      <c r="O65" s="28"/>
      <c r="P65" s="28"/>
    </row>
    <row r="66" spans="2:16" x14ac:dyDescent="0.3">
      <c r="B66" s="28"/>
      <c r="C66" s="28"/>
      <c r="D66" s="28"/>
      <c r="E66" s="28"/>
      <c r="F66" s="28"/>
      <c r="G66" s="28"/>
      <c r="H66" s="28"/>
      <c r="I66" s="28"/>
      <c r="J66" s="28"/>
      <c r="K66" s="28"/>
      <c r="L66" s="28"/>
      <c r="M66" s="28"/>
      <c r="N66" s="28"/>
      <c r="O66" s="28"/>
      <c r="P66" s="28"/>
    </row>
  </sheetData>
  <sortState xmlns:xlrd2="http://schemas.microsoft.com/office/spreadsheetml/2017/richdata2" ref="T31:T37">
    <sortCondition ref="T31"/>
  </sortState>
  <mergeCells count="3">
    <mergeCell ref="Q4:S4"/>
    <mergeCell ref="Q9:S9"/>
    <mergeCell ref="Q10:S10"/>
  </mergeCells>
  <conditionalFormatting sqref="B35">
    <cfRule type="cellIs" dxfId="70" priority="19" operator="equal">
      <formula>1</formula>
    </cfRule>
    <cfRule type="cellIs" dxfId="69" priority="20" operator="notEqual">
      <formula>1</formula>
    </cfRule>
    <cfRule type="cellIs" dxfId="68" priority="21" operator="equal">
      <formula>1</formula>
    </cfRule>
  </conditionalFormatting>
  <conditionalFormatting sqref="C35:O35">
    <cfRule type="cellIs" dxfId="67" priority="1" operator="equal">
      <formula>1</formula>
    </cfRule>
    <cfRule type="cellIs" dxfId="66" priority="2" operator="notEqual">
      <formula>1</formula>
    </cfRule>
    <cfRule type="cellIs" dxfId="65" priority="3" operator="equal">
      <formula>1</formula>
    </cfRule>
  </conditionalFormatting>
  <pageMargins left="0.7" right="0.7" top="0.75" bottom="0.75" header="0.3" footer="0.3"/>
  <pageSetup paperSize="9" orientation="landscape" r:id="rId1"/>
  <tableParts count="5">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0F1CDA140478F499D898615F6107B32" ma:contentTypeVersion="6" ma:contentTypeDescription="Create a new document." ma:contentTypeScope="" ma:versionID="e1da2b53eee3bb2801ca4163e98ba4cc">
  <xsd:schema xmlns:xsd="http://www.w3.org/2001/XMLSchema" xmlns:xs="http://www.w3.org/2001/XMLSchema" xmlns:p="http://schemas.microsoft.com/office/2006/metadata/properties" xmlns:ns3="06ca84cb-f580-4a2d-ae2c-081861824c5d" xmlns:ns4="8b7cabc9-ed52-4abf-8a73-9478b379a82b" targetNamespace="http://schemas.microsoft.com/office/2006/metadata/properties" ma:root="true" ma:fieldsID="7739f03b0181e8cf58db2548684041c1" ns3:_="" ns4:_="">
    <xsd:import namespace="06ca84cb-f580-4a2d-ae2c-081861824c5d"/>
    <xsd:import namespace="8b7cabc9-ed52-4abf-8a73-9478b379a82b"/>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ca84cb-f580-4a2d-ae2c-081861824c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b7cabc9-ed52-4abf-8a73-9478b379a82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06ca84cb-f580-4a2d-ae2c-081861824c5d" xsi:nil="true"/>
  </documentManagement>
</p:properties>
</file>

<file path=customXml/itemProps1.xml><?xml version="1.0" encoding="utf-8"?>
<ds:datastoreItem xmlns:ds="http://schemas.openxmlformats.org/officeDocument/2006/customXml" ds:itemID="{4AE085D7-3E1C-4A8C-95E0-2BA664430A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ca84cb-f580-4a2d-ae2c-081861824c5d"/>
    <ds:schemaRef ds:uri="8b7cabc9-ed52-4abf-8a73-9478b379a8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CB9B892-B0BF-40AC-9935-C679BC1EEA5C}">
  <ds:schemaRefs>
    <ds:schemaRef ds:uri="http://schemas.microsoft.com/sharepoint/v3/contenttype/forms"/>
  </ds:schemaRefs>
</ds:datastoreItem>
</file>

<file path=customXml/itemProps3.xml><?xml version="1.0" encoding="utf-8"?>
<ds:datastoreItem xmlns:ds="http://schemas.openxmlformats.org/officeDocument/2006/customXml" ds:itemID="{A42A6DD9-A0C4-449B-A3BC-08716D5341F5}">
  <ds:schemaRefs>
    <ds:schemaRef ds:uri="8b7cabc9-ed52-4abf-8a73-9478b379a82b"/>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06ca84cb-f580-4a2d-ae2c-081861824c5d"/>
    <ds:schemaRef ds:uri="http://purl.org/dc/elements/1.1/"/>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Cover Sheet</vt:lpstr>
      <vt:lpstr>Addendum</vt:lpstr>
      <vt:lpstr>Competency Assessment</vt:lpstr>
      <vt:lpstr>Competencies</vt:lpstr>
      <vt:lpstr>Guidance Sheet</vt:lpstr>
      <vt:lpstr>Designations</vt:lpstr>
      <vt:lpstr>'Competency Assessment'!Print_Area</vt:lpstr>
      <vt:lpstr>'Guidance Sheet'!Print_Area</vt:lpstr>
      <vt:lpstr>Print_Area</vt:lpstr>
      <vt:lpstr>Addendum!Print_Titles</vt:lpstr>
      <vt:lpstr>Title</vt:lpstr>
    </vt:vector>
  </TitlesOfParts>
  <Company>Vistaar Systems Pvt.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Developer Assessment Sheet</dc:title>
  <dc:creator>MNK</dc:creator>
  <cp:lastModifiedBy>Tushar Tiwari</cp:lastModifiedBy>
  <cp:lastPrinted>2020-01-31T09:21:33Z</cp:lastPrinted>
  <dcterms:created xsi:type="dcterms:W3CDTF">2012-08-13T05:41:50Z</dcterms:created>
  <dcterms:modified xsi:type="dcterms:W3CDTF">2024-05-26T17:33:59Z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0x010100A0F1CDA140478F499D898615F6107B32</vt:lpwstr>
  </property>
</Properties>
</file>